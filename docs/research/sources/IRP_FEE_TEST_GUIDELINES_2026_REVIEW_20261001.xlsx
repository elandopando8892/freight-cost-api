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https://internationalregistration-my.sharepoint.com/personal/hhaney_irpinc_org/Documents/Jurisdictions Info (APVD, Activity &amp; Fee)/Fee Test Tracking/2026 Fee Test/"/>
    </mc:Choice>
  </mc:AlternateContent>
  <xr:revisionPtr revIDLastSave="0" documentId="8_{6BC9BF1A-B0B5-4E95-AC1D-FAC938C36E86}" xr6:coauthVersionLast="47" xr6:coauthVersionMax="47" xr10:uidLastSave="{00000000-0000-0000-0000-000000000000}"/>
  <bookViews>
    <workbookView xWindow="-28920" yWindow="-120" windowWidth="29040" windowHeight="15720" firstSheet="49" activeTab="50" xr2:uid="{00000000-000D-0000-FFFF-FFFF00000000}"/>
  </bookViews>
  <sheets>
    <sheet name="Alabama" sheetId="1" r:id="rId1"/>
    <sheet name="Alberta" sheetId="61" r:id="rId2"/>
    <sheet name="Arizona" sheetId="2" r:id="rId3"/>
    <sheet name="Arkansas" sheetId="3" r:id="rId4"/>
    <sheet name="BritishColumbia" sheetId="5" r:id="rId5"/>
    <sheet name="California" sheetId="6" r:id="rId6"/>
    <sheet name="Colorado" sheetId="62" r:id="rId7"/>
    <sheet name="Connecticut" sheetId="8" r:id="rId8"/>
    <sheet name="Delaware" sheetId="10" r:id="rId9"/>
    <sheet name="D.C." sheetId="9" r:id="rId10"/>
    <sheet name="Florida" sheetId="11" r:id="rId11"/>
    <sheet name="Georgia" sheetId="63" r:id="rId12"/>
    <sheet name="Idaho" sheetId="14" r:id="rId13"/>
    <sheet name="Illinois" sheetId="64" r:id="rId14"/>
    <sheet name="Indiana" sheetId="16" r:id="rId15"/>
    <sheet name="Iowa" sheetId="13" r:id="rId16"/>
    <sheet name="Kansas" sheetId="17" r:id="rId17"/>
    <sheet name="Kentucky" sheetId="18" r:id="rId18"/>
    <sheet name="Louisiana" sheetId="19" r:id="rId19"/>
    <sheet name="Maine" sheetId="24" r:id="rId20"/>
    <sheet name="Manitoba" sheetId="29" r:id="rId21"/>
    <sheet name="Maryland" sheetId="21" r:id="rId22"/>
    <sheet name="Massachusetts" sheetId="20" r:id="rId23"/>
    <sheet name="Michigan" sheetId="25" r:id="rId24"/>
    <sheet name="Minnesota" sheetId="26" r:id="rId25"/>
    <sheet name="Mississippi" sheetId="34" r:id="rId26"/>
    <sheet name="Missouri" sheetId="27" r:id="rId27"/>
    <sheet name="Montana" sheetId="30" r:id="rId28"/>
    <sheet name="Nebraska" sheetId="28" r:id="rId29"/>
    <sheet name="Nevada" sheetId="36" r:id="rId30"/>
    <sheet name="NewBrunswick" sheetId="31" r:id="rId31"/>
    <sheet name="NewHampshire" sheetId="22" r:id="rId32"/>
    <sheet name="NewJersey" sheetId="23" r:id="rId33"/>
    <sheet name="New Mexico" sheetId="65" r:id="rId34"/>
    <sheet name="NewYork" sheetId="37" r:id="rId35"/>
    <sheet name="NewfoundlandLabrador" sheetId="35" r:id="rId36"/>
    <sheet name="NorthCarolina" sheetId="32" r:id="rId37"/>
    <sheet name="NorthDakota" sheetId="33" r:id="rId38"/>
    <sheet name="NovaScotia" sheetId="56" r:id="rId39"/>
    <sheet name="Ohio" sheetId="38" r:id="rId40"/>
    <sheet name="Oklahoma" sheetId="39" r:id="rId41"/>
    <sheet name="Ontario" sheetId="40" r:id="rId42"/>
    <sheet name="Oregon" sheetId="41" r:id="rId43"/>
    <sheet name="Pennsylvania" sheetId="42" r:id="rId44"/>
    <sheet name="PrinceEdward" sheetId="43" r:id="rId45"/>
    <sheet name="Quebec" sheetId="44" r:id="rId46"/>
    <sheet name="RhodeIsland" sheetId="45" r:id="rId47"/>
    <sheet name="Saskatchewan" sheetId="48" r:id="rId48"/>
    <sheet name="SouthCarolina" sheetId="46" r:id="rId49"/>
    <sheet name="SouthDakota" sheetId="47" r:id="rId50"/>
    <sheet name="Tennessee" sheetId="49" r:id="rId51"/>
    <sheet name="Texas" sheetId="50" r:id="rId52"/>
    <sheet name="Utah" sheetId="51" r:id="rId53"/>
    <sheet name="Vermont" sheetId="53" r:id="rId54"/>
    <sheet name="Virginia" sheetId="52" r:id="rId55"/>
    <sheet name="Washington" sheetId="54" r:id="rId56"/>
    <sheet name="West Virginia" sheetId="59" r:id="rId57"/>
    <sheet name="Wisconsin" sheetId="55" r:id="rId58"/>
    <sheet name="Wyoming" sheetId="60" r:id="rId5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1" i="54" l="1"/>
  <c r="F83" i="54" s="1"/>
  <c r="Q63" i="54"/>
  <c r="K63" i="54"/>
  <c r="K65" i="54" s="1"/>
  <c r="F63" i="54"/>
  <c r="F65" i="54" s="1"/>
  <c r="F54" i="54"/>
  <c r="F56" i="54" s="1"/>
  <c r="F44" i="54"/>
  <c r="F46" i="54" s="1"/>
  <c r="Q43" i="54"/>
  <c r="K43" i="54"/>
  <c r="K45" i="54" s="1"/>
  <c r="F34" i="54"/>
  <c r="F36" i="54" s="1"/>
  <c r="F24" i="54"/>
  <c r="F26" i="54" s="1"/>
  <c r="D91" i="14"/>
  <c r="D87" i="14"/>
  <c r="G75" i="14"/>
  <c r="G77" i="14" s="1"/>
  <c r="D75" i="14"/>
  <c r="D67" i="14"/>
  <c r="D63" i="14"/>
  <c r="D69" i="14" s="1"/>
  <c r="G52" i="14"/>
  <c r="D52" i="14"/>
  <c r="G48" i="14"/>
  <c r="D48" i="14"/>
  <c r="D39" i="14"/>
  <c r="D35" i="14"/>
  <c r="D26" i="14"/>
  <c r="D22" i="14"/>
  <c r="E74" i="60"/>
  <c r="E76" i="60" s="1"/>
  <c r="G66" i="60"/>
  <c r="E63" i="60"/>
  <c r="E64" i="60" s="1"/>
  <c r="E52" i="60"/>
  <c r="E53" i="60" s="1"/>
  <c r="E55" i="60" s="1"/>
  <c r="F43" i="60"/>
  <c r="E43" i="60"/>
  <c r="E45" i="60" s="1"/>
  <c r="G45" i="60" s="1"/>
  <c r="E42" i="60"/>
  <c r="E31" i="60"/>
  <c r="E33" i="60" s="1"/>
  <c r="E21" i="60"/>
  <c r="E23" i="60" s="1"/>
  <c r="E44" i="55"/>
  <c r="E74" i="52"/>
  <c r="I62" i="52"/>
  <c r="L61" i="52"/>
  <c r="L60" i="52"/>
  <c r="L62" i="52" s="1"/>
  <c r="E52" i="52"/>
  <c r="I43" i="52"/>
  <c r="L42" i="52"/>
  <c r="L41" i="52"/>
  <c r="L43" i="52" s="1"/>
  <c r="E33" i="52"/>
  <c r="E23" i="52"/>
  <c r="I86" i="50"/>
  <c r="I87" i="50" s="1"/>
  <c r="I88" i="50" s="1"/>
  <c r="I71" i="50"/>
  <c r="I72" i="50" s="1"/>
  <c r="I75" i="50" s="1"/>
  <c r="I65" i="50"/>
  <c r="I66" i="50" s="1"/>
  <c r="I74" i="50" s="1"/>
  <c r="I76" i="50" s="1"/>
  <c r="I56" i="50"/>
  <c r="I57" i="50" s="1"/>
  <c r="I49" i="50"/>
  <c r="I44" i="50"/>
  <c r="I45" i="50" s="1"/>
  <c r="I38" i="50"/>
  <c r="I39" i="50" s="1"/>
  <c r="I29" i="50"/>
  <c r="I30" i="50" s="1"/>
  <c r="I21" i="50"/>
  <c r="I22" i="50" s="1"/>
  <c r="F67" i="44" l="1"/>
  <c r="F68" i="44" s="1"/>
  <c r="C66" i="44"/>
  <c r="D57" i="44"/>
  <c r="D58" i="44" s="1"/>
  <c r="C56" i="44"/>
  <c r="C44" i="44"/>
  <c r="F45" i="44" s="1"/>
  <c r="F46" i="44" s="1"/>
  <c r="C35" i="44"/>
  <c r="C23" i="44"/>
  <c r="F24" i="44" s="1"/>
  <c r="F25" i="44" s="1"/>
  <c r="C14" i="44"/>
  <c r="F15" i="44" s="1"/>
  <c r="F16" i="44" s="1"/>
  <c r="D9" i="40" l="1"/>
  <c r="C18" i="38"/>
  <c r="H76" i="32"/>
  <c r="H53" i="32"/>
  <c r="H24" i="32"/>
  <c r="D72" i="65"/>
  <c r="D61" i="65"/>
  <c r="D51" i="65"/>
  <c r="D41" i="65"/>
  <c r="D31" i="65"/>
  <c r="D21" i="65"/>
  <c r="E73" i="22"/>
  <c r="G65" i="22"/>
  <c r="G61" i="22"/>
  <c r="G57" i="22"/>
  <c r="E50" i="22"/>
  <c r="F39" i="22"/>
  <c r="F35" i="22"/>
  <c r="E28" i="22"/>
  <c r="E21" i="22"/>
  <c r="G176" i="36"/>
  <c r="G177" i="36" s="1"/>
  <c r="G173" i="36"/>
  <c r="G166" i="36"/>
  <c r="G167" i="36" s="1"/>
  <c r="G152" i="36"/>
  <c r="G153" i="36" s="1"/>
  <c r="G149" i="36"/>
  <c r="G142" i="36"/>
  <c r="G143" i="36" s="1"/>
  <c r="G155" i="36" s="1"/>
  <c r="G139" i="36"/>
  <c r="G132" i="36"/>
  <c r="G126" i="36"/>
  <c r="G118" i="36"/>
  <c r="G114" i="36"/>
  <c r="G115" i="36" s="1"/>
  <c r="G111" i="36"/>
  <c r="G103" i="36"/>
  <c r="G104" i="36" s="1"/>
  <c r="G91" i="36"/>
  <c r="G92" i="36" s="1"/>
  <c r="G88" i="36"/>
  <c r="G80" i="36"/>
  <c r="G81" i="36" s="1"/>
  <c r="G77" i="36"/>
  <c r="G70" i="36"/>
  <c r="G71" i="36" s="1"/>
  <c r="G64" i="36"/>
  <c r="G65" i="36" s="1"/>
  <c r="G95" i="36" s="1"/>
  <c r="G53" i="36"/>
  <c r="G54" i="36" s="1"/>
  <c r="G50" i="36"/>
  <c r="G44" i="36"/>
  <c r="G56" i="36" s="1"/>
  <c r="G43" i="36"/>
  <c r="G32" i="36"/>
  <c r="G33" i="36" s="1"/>
  <c r="G29" i="36"/>
  <c r="G22" i="36"/>
  <c r="G23" i="36" s="1"/>
  <c r="G179" i="36" l="1"/>
  <c r="G35" i="36"/>
  <c r="D85" i="34"/>
  <c r="D87" i="34" s="1"/>
  <c r="D70" i="34"/>
  <c r="D72" i="34" s="1"/>
  <c r="E69" i="34"/>
  <c r="E68" i="34"/>
  <c r="E70" i="34" s="1"/>
  <c r="E72" i="34" s="1"/>
  <c r="D58" i="34"/>
  <c r="D60" i="34" s="1"/>
  <c r="G54" i="34"/>
  <c r="E57" i="34" s="1"/>
  <c r="D46" i="34"/>
  <c r="D44" i="34"/>
  <c r="E43" i="34"/>
  <c r="E42" i="34"/>
  <c r="E44" i="34" s="1"/>
  <c r="E46" i="34" s="1"/>
  <c r="D33" i="34"/>
  <c r="D35" i="34" s="1"/>
  <c r="B42" i="34" s="1"/>
  <c r="B43" i="34" s="1"/>
  <c r="E47" i="34" s="1"/>
  <c r="D22" i="34"/>
  <c r="D24" i="34" s="1"/>
  <c r="E48" i="34" l="1"/>
  <c r="E56" i="34"/>
  <c r="E58" i="34" s="1"/>
  <c r="E60" i="34" s="1"/>
  <c r="E73" i="34" s="1"/>
  <c r="E74" i="34" s="1"/>
  <c r="E92" i="20" l="1"/>
  <c r="F81" i="20"/>
  <c r="F77" i="20"/>
  <c r="F73" i="20"/>
  <c r="E64" i="20"/>
  <c r="F46" i="20"/>
  <c r="F42" i="20"/>
  <c r="E32" i="20"/>
  <c r="E22" i="20"/>
  <c r="G137" i="24"/>
  <c r="F135" i="24"/>
  <c r="G130" i="24"/>
  <c r="G139" i="24" s="1"/>
  <c r="F114" i="24"/>
  <c r="F109" i="24"/>
  <c r="F111" i="24" s="1"/>
  <c r="F113" i="24" s="1"/>
  <c r="G115" i="24" s="1"/>
  <c r="G119" i="24" s="1"/>
  <c r="G99" i="24"/>
  <c r="F98" i="24"/>
  <c r="F97" i="24"/>
  <c r="F95" i="24"/>
  <c r="F89" i="24"/>
  <c r="F86" i="24"/>
  <c r="F88" i="24" s="1"/>
  <c r="G90" i="24" s="1"/>
  <c r="G101" i="24" s="1"/>
  <c r="F75" i="24"/>
  <c r="F72" i="24"/>
  <c r="F74" i="24" s="1"/>
  <c r="G76" i="24" s="1"/>
  <c r="F70" i="24"/>
  <c r="F64" i="24"/>
  <c r="F59" i="24"/>
  <c r="F61" i="24" s="1"/>
  <c r="F63" i="24" s="1"/>
  <c r="G65" i="24" s="1"/>
  <c r="G78" i="24" s="1"/>
  <c r="F48" i="24"/>
  <c r="G50" i="24" s="1"/>
  <c r="F41" i="24"/>
  <c r="G43" i="24" s="1"/>
  <c r="G52" i="24" s="1"/>
  <c r="F29" i="24"/>
  <c r="G31" i="24" s="1"/>
  <c r="F22" i="24"/>
  <c r="G24" i="24" s="1"/>
  <c r="G33" i="24" s="1"/>
  <c r="D76" i="19" l="1"/>
  <c r="D74" i="19"/>
  <c r="H63" i="19"/>
  <c r="D65" i="19" s="1"/>
  <c r="D63" i="19"/>
  <c r="D53" i="19"/>
  <c r="H43" i="19"/>
  <c r="D45" i="19" s="1"/>
  <c r="D43" i="19"/>
  <c r="D33" i="19"/>
  <c r="D23" i="19"/>
  <c r="C183" i="17"/>
  <c r="C112" i="17"/>
  <c r="C54" i="17"/>
  <c r="C34" i="17"/>
  <c r="F105" i="16" l="1"/>
  <c r="F103" i="16"/>
  <c r="F106" i="16" s="1"/>
  <c r="F101" i="16"/>
  <c r="F99" i="16"/>
  <c r="L88" i="16"/>
  <c r="F88" i="16"/>
  <c r="L86" i="16"/>
  <c r="F86" i="16"/>
  <c r="L84" i="16"/>
  <c r="F84" i="16"/>
  <c r="F89" i="16" s="1"/>
  <c r="L82" i="16"/>
  <c r="L89" i="16" s="1"/>
  <c r="F91" i="16" s="1"/>
  <c r="F82" i="16"/>
  <c r="F73" i="16"/>
  <c r="F71" i="16"/>
  <c r="F69" i="16"/>
  <c r="F67" i="16"/>
  <c r="F74" i="16" s="1"/>
  <c r="L57" i="16"/>
  <c r="F57" i="16"/>
  <c r="F58" i="16" s="1"/>
  <c r="L55" i="16"/>
  <c r="L58" i="16" s="1"/>
  <c r="F60" i="16" s="1"/>
  <c r="F55" i="16"/>
  <c r="L53" i="16"/>
  <c r="F53" i="16"/>
  <c r="L51" i="16"/>
  <c r="F51" i="16"/>
  <c r="F42" i="16"/>
  <c r="F40" i="16"/>
  <c r="F38" i="16"/>
  <c r="F36" i="16"/>
  <c r="F43" i="16" s="1"/>
  <c r="F28" i="16"/>
  <c r="F29" i="16" s="1"/>
  <c r="F26" i="16"/>
  <c r="F24" i="16"/>
  <c r="F22" i="16"/>
  <c r="C149" i="6" l="1"/>
  <c r="F149" i="6" s="1"/>
  <c r="C141" i="6"/>
  <c r="C142" i="6" s="1"/>
  <c r="C144" i="6" s="1"/>
  <c r="F144" i="6" s="1"/>
  <c r="I144" i="6" s="1"/>
  <c r="C125" i="6"/>
  <c r="C127" i="6" s="1"/>
  <c r="F127" i="6" s="1"/>
  <c r="F115" i="6"/>
  <c r="C105" i="6" s="1"/>
  <c r="C106" i="6" s="1"/>
  <c r="C108" i="6" s="1"/>
  <c r="F108" i="6" s="1"/>
  <c r="I108" i="6" s="1"/>
  <c r="F113" i="6"/>
  <c r="C113" i="6"/>
  <c r="C90" i="6"/>
  <c r="C83" i="6"/>
  <c r="F83" i="6" s="1"/>
  <c r="C73" i="6"/>
  <c r="C76" i="6" s="1"/>
  <c r="C78" i="6" s="1"/>
  <c r="F78" i="6" s="1"/>
  <c r="I78" i="6" s="1"/>
  <c r="C60" i="6"/>
  <c r="F60" i="6" s="1"/>
  <c r="C52" i="6" s="1"/>
  <c r="C53" i="6" s="1"/>
  <c r="C55" i="6" s="1"/>
  <c r="F55" i="6" s="1"/>
  <c r="I55" i="6" s="1"/>
  <c r="C37" i="6"/>
  <c r="F37" i="6" s="1"/>
  <c r="C29" i="6" s="1"/>
  <c r="C30" i="6" s="1"/>
  <c r="C32" i="6" s="1"/>
  <c r="F32" i="6" s="1"/>
  <c r="I32" i="6" s="1"/>
  <c r="C92" i="61" l="1"/>
  <c r="C94" i="61" s="1"/>
  <c r="F94" i="61" s="1"/>
  <c r="J94" i="61" s="1"/>
  <c r="G96" i="61" s="1"/>
  <c r="C76" i="61"/>
  <c r="C78" i="61" s="1"/>
  <c r="C80" i="61" s="1"/>
  <c r="C70" i="61"/>
  <c r="C72" i="61" s="1"/>
  <c r="C74" i="61" s="1"/>
  <c r="C82" i="61" s="1"/>
  <c r="F82" i="61" s="1"/>
  <c r="J82" i="61" s="1"/>
  <c r="G84" i="61" s="1"/>
  <c r="C58" i="61"/>
  <c r="C60" i="61" s="1"/>
  <c r="C62" i="61" s="1"/>
  <c r="F62" i="61" s="1"/>
  <c r="J62" i="61" s="1"/>
  <c r="G64" i="61" s="1"/>
  <c r="G52" i="61"/>
  <c r="F50" i="61"/>
  <c r="J50" i="61" s="1"/>
  <c r="C47" i="61"/>
  <c r="C43" i="61"/>
  <c r="C45" i="61" s="1"/>
  <c r="C41" i="61"/>
  <c r="C49" i="61" s="1"/>
  <c r="C37" i="61"/>
  <c r="C39" i="61" s="1"/>
  <c r="C24" i="61"/>
  <c r="C26" i="61" s="1"/>
  <c r="F26" i="61" s="1"/>
  <c r="J26" i="61" s="1"/>
  <c r="G28" i="61" s="1"/>
  <c r="C12" i="61"/>
  <c r="C14" i="61" s="1"/>
  <c r="F14" i="61" s="1"/>
  <c r="J14" i="61" s="1"/>
  <c r="G16" i="61" s="1"/>
</calcChain>
</file>

<file path=xl/sharedStrings.xml><?xml version="1.0" encoding="utf-8"?>
<sst xmlns="http://schemas.openxmlformats.org/spreadsheetml/2006/main" count="4998" uniqueCount="1688">
  <si>
    <r>
      <t xml:space="preserve">IRP Fee Guidelines and Rules for </t>
    </r>
    <r>
      <rPr>
        <b/>
        <u/>
        <sz val="16"/>
        <rFont val="Times New Roman"/>
        <family val="1"/>
      </rPr>
      <t>British Columbia</t>
    </r>
  </si>
  <si>
    <t>IRP Fee Guidelines and Rules for WASHINGTON</t>
  </si>
  <si>
    <t>Example:</t>
  </si>
  <si>
    <t xml:space="preserve">80,000 lb Tractor </t>
  </si>
  <si>
    <t>Registration fee:  1350.00</t>
  </si>
  <si>
    <t xml:space="preserve">   </t>
  </si>
  <si>
    <t xml:space="preserve">Excise fee:              + 692.00 </t>
  </si>
  <si>
    <t xml:space="preserve">Total fee               = 2042.00 </t>
  </si>
  <si>
    <t>Apportion %         X 1.695%</t>
  </si>
  <si>
    <t>Fee due:                  34.61</t>
  </si>
  <si>
    <t>TEST 1:</t>
  </si>
  <si>
    <t>Give the fee rules for your jurisdiction for Add vehicle for Private Carrier for 12 months.</t>
  </si>
  <si>
    <t>TEST 2:</t>
  </si>
  <si>
    <t>Give the fee rules for your jurisdiction for Add vehicle for Haul for Hire for 12 months.</t>
  </si>
  <si>
    <t xml:space="preserve"> </t>
  </si>
  <si>
    <t>TEST 3:</t>
  </si>
  <si>
    <t xml:space="preserve">Give the fee rules for your jurisdiction for Add/Delete vehicle for 9 months. </t>
  </si>
  <si>
    <t>TEST 4:</t>
  </si>
  <si>
    <t>Give the fee rules for your jurisdiction for add vehicle for Haul for Hire for 7 months.</t>
  </si>
  <si>
    <t xml:space="preserve">74,000 lb Tractor </t>
  </si>
  <si>
    <t>TEST 5:</t>
  </si>
  <si>
    <t>Give the fee rules for your jurisdiction for Weight Increase transaction for 6 months.</t>
  </si>
  <si>
    <t>TEST 6:</t>
  </si>
  <si>
    <t>Give the fee rules for your jurisdiction for Add Vehicle (BUS) for 12  months.</t>
  </si>
  <si>
    <t xml:space="preserve">Be sure to include in the rules if your jurisdiction goes by empty weight or gross weight.  If gross weight, be sure to specify how your jurisdiction defines gross weight. 150 pounds per seat or the gross weight that is designated on the application. Example of gross weight: empty weight  </t>
  </si>
  <si>
    <t>Registration Fee</t>
  </si>
  <si>
    <t>MJV Tax Fee Canadian</t>
  </si>
  <si>
    <t>MJV Tax Fee US</t>
  </si>
  <si>
    <t>36,287 kgs / 80,000 lbs</t>
  </si>
  <si>
    <t>Taxable Value - $136,000</t>
  </si>
  <si>
    <t>Annual Fee:  $2,039</t>
  </si>
  <si>
    <t>Rate - .03294</t>
  </si>
  <si>
    <t>Prorate % - 1.695%</t>
  </si>
  <si>
    <t>Term - 12 months ($2,039.00)</t>
  </si>
  <si>
    <t>Term - 100%</t>
  </si>
  <si>
    <t>Canadian Fee Due - $34.56</t>
  </si>
  <si>
    <t>US Fee Due - $75.93</t>
  </si>
  <si>
    <t>36,287kgs / 80,000 lbs</t>
  </si>
  <si>
    <t>Taxable Value - $199,720 US</t>
  </si>
  <si>
    <t>Annual Fee - $2,039</t>
  </si>
  <si>
    <t>Prorate - 1.695%</t>
  </si>
  <si>
    <t>Term -9 months ($1,529.25)</t>
  </si>
  <si>
    <t>Term - 75%</t>
  </si>
  <si>
    <t>Canadian Fee Due - $25.92</t>
  </si>
  <si>
    <t>US Fee Due - $83.63</t>
  </si>
  <si>
    <t>Credit Calculation From Equipment #1</t>
  </si>
  <si>
    <t>MJV Tax Fee</t>
  </si>
  <si>
    <t>Credits are not applicable</t>
  </si>
  <si>
    <t>Term - 9 months ($1,529.25)</t>
  </si>
  <si>
    <t>33,566 kgs / 74,000 lbs</t>
  </si>
  <si>
    <t>Taxable Value - $190,000 CDN</t>
  </si>
  <si>
    <t>Annual Fee - $1,769</t>
  </si>
  <si>
    <t>Term - 7 months ($1,031.92)</t>
  </si>
  <si>
    <t>Term - 58.33333%</t>
  </si>
  <si>
    <t>Canadian Fee Due - $17.49</t>
  </si>
  <si>
    <t>US Fee Due - $61.88</t>
  </si>
  <si>
    <t>MJV not applicable</t>
  </si>
  <si>
    <t>Term - 6 months ($1,019.50)</t>
  </si>
  <si>
    <t>Canadian Fee Due - $17.28</t>
  </si>
  <si>
    <t xml:space="preserve">Credit Calculation </t>
  </si>
  <si>
    <t>Term - 6 months ($884.50)</t>
  </si>
  <si>
    <t>Canadian Fee Due - $14.99</t>
  </si>
  <si>
    <t>17,237 kgs / 38,000 lbs</t>
  </si>
  <si>
    <t>Taxable Value - $359,000 US</t>
  </si>
  <si>
    <t>Annual Fee - $768</t>
  </si>
  <si>
    <t>Rate - .02708</t>
  </si>
  <si>
    <t>Term - 12 months ($768.00)</t>
  </si>
  <si>
    <t>Canadian Fee Due - $13.02</t>
  </si>
  <si>
    <t>US Fee Due - $164.78</t>
  </si>
  <si>
    <t>Truck Tractor</t>
  </si>
  <si>
    <t>Purchase price = $136,000 rounded to nearest odd hundred $136,100</t>
  </si>
  <si>
    <t>GVW = 80,000 lbs.</t>
  </si>
  <si>
    <t>Axles = 3</t>
  </si>
  <si>
    <t>Fees</t>
  </si>
  <si>
    <t>Registration</t>
  </si>
  <si>
    <t>CVRA</t>
  </si>
  <si>
    <t>GVW</t>
  </si>
  <si>
    <t>CTIP</t>
  </si>
  <si>
    <t>VLF</t>
  </si>
  <si>
    <t>+</t>
  </si>
  <si>
    <t>See below for VLF Calculation</t>
  </si>
  <si>
    <t>Sub-total</t>
  </si>
  <si>
    <t>Jurisdiction %</t>
  </si>
  <si>
    <t>X</t>
  </si>
  <si>
    <t>Rounded =</t>
  </si>
  <si>
    <t>Total Due =</t>
  </si>
  <si>
    <t>VLF Calculation</t>
  </si>
  <si>
    <t>Purchase Price</t>
  </si>
  <si>
    <t>Equivalent Factor</t>
  </si>
  <si>
    <t xml:space="preserve">Rounded = </t>
  </si>
  <si>
    <t>Purchase price = $199,720 rounded to nearest odd hundred $199,700</t>
  </si>
  <si>
    <t>See below for Weight Fee Calculation</t>
  </si>
  <si>
    <t>Sub Total</t>
  </si>
  <si>
    <t>1298 X 9 / 12 = 973.5</t>
  </si>
  <si>
    <t>Weight Calculation</t>
  </si>
  <si>
    <t>Weight fee 9 months add vehicle</t>
  </si>
  <si>
    <t>-</t>
  </si>
  <si>
    <t>Weight fee 8 months credit deleted vehicle</t>
  </si>
  <si>
    <t>Purchase price = $190,000 rounded to nearest odd hundred $190,100</t>
  </si>
  <si>
    <t>GVW = 74,000 lbs.</t>
  </si>
  <si>
    <t>$1236 X 7 /12 = $721</t>
  </si>
  <si>
    <t>Previous GVW = 74,000 lbs.</t>
  </si>
  <si>
    <t>New GVW = 80,000 lbs.</t>
  </si>
  <si>
    <t>GVW @ 80,000</t>
  </si>
  <si>
    <t>GVW @ 74, 000</t>
  </si>
  <si>
    <t>Vehicle Type = Bus</t>
  </si>
  <si>
    <t>Purchase Price = $359,000 rounded to nearest odd hundred $359,100</t>
  </si>
  <si>
    <t>GVW = 38,000 lbs.</t>
  </si>
  <si>
    <t>See below for VLF calculation</t>
  </si>
  <si>
    <t>80,000 lb. Tractor</t>
  </si>
  <si>
    <t>Registration Fee:     $1,546.00</t>
  </si>
  <si>
    <t>Apportion %:              x 1.695%</t>
  </si>
  <si>
    <t>Fee Due:                            $26.20</t>
  </si>
  <si>
    <t>Credit from the deleted vehicle is applied to added vehicle,</t>
  </si>
  <si>
    <t xml:space="preserve">even if the add and delete vehicle are on different supplements as </t>
  </si>
  <si>
    <t>long as the vehicles are in the same fleet.</t>
  </si>
  <si>
    <t>74,000 lb. Tractor</t>
  </si>
  <si>
    <t>Registration Fee:     $1,430.80</t>
  </si>
  <si>
    <t>Apportion %:             x 1.695%</t>
  </si>
  <si>
    <t>Fee Due:                          $24.25</t>
  </si>
  <si>
    <t>Registration Fee:      $1,546.00</t>
  </si>
  <si>
    <t>Apportion %:                 x1.70%</t>
  </si>
  <si>
    <t>Higher weight fee paid:  $26.20</t>
  </si>
  <si>
    <t>Lower weight fee paid:   $24.25</t>
  </si>
  <si>
    <t>Bus 35 Passenger to calculate gross weight</t>
  </si>
  <si>
    <t>Multiply 150 per seat (35 x 150=5,250) and add to light weight (26,000)</t>
  </si>
  <si>
    <t>Multiply weight 31,300 by $1.25 per hundred lbs (31,300 (rounded from 31,250) x .0125)</t>
  </si>
  <si>
    <t>plus $42.00</t>
  </si>
  <si>
    <t>Registration Fee:   $433.25</t>
  </si>
  <si>
    <t>Apportion %:           x1.695%</t>
  </si>
  <si>
    <t>Fee Due:                        $7.34</t>
  </si>
  <si>
    <t>80,000 lb</t>
  </si>
  <si>
    <t>Registration Fee: $ 1,390.00</t>
  </si>
  <si>
    <t>Apportioned % 1.695</t>
  </si>
  <si>
    <t>Fee Due: $ 23.56</t>
  </si>
  <si>
    <t>Add 80,000 lb</t>
  </si>
  <si>
    <t>Registration Fee: $1,042.50</t>
  </si>
  <si>
    <t>Fee Due: $17.67</t>
  </si>
  <si>
    <t>Delete 80,000 lb</t>
  </si>
  <si>
    <t>Fee Credit: $17.67</t>
  </si>
  <si>
    <t>Total Due: $0.00</t>
  </si>
  <si>
    <t>74,000 lb</t>
  </si>
  <si>
    <t>Registration Fee: $747.80</t>
  </si>
  <si>
    <t>Fee Due: $12.68</t>
  </si>
  <si>
    <t>Original 74,000 lb</t>
  </si>
  <si>
    <t>Registration Fee: $641.00</t>
  </si>
  <si>
    <t>Change to 80,000 lb</t>
  </si>
  <si>
    <t>Registration Fee: $695.00</t>
  </si>
  <si>
    <t>Difference: $ 54.00</t>
  </si>
  <si>
    <t>Fee Due: $.92</t>
  </si>
  <si>
    <t>38,000 lb GVW</t>
  </si>
  <si>
    <t>Registration Fee: $634.00</t>
  </si>
  <si>
    <t>Apportioned %1.695</t>
  </si>
  <si>
    <t>Fee Due: 10.75</t>
  </si>
  <si>
    <t>80,000 lbs Tractor</t>
  </si>
  <si>
    <t>Registration Fee:</t>
  </si>
  <si>
    <t>Apportion %</t>
  </si>
  <si>
    <t>x .016950</t>
  </si>
  <si>
    <t>Fee Due:</t>
  </si>
  <si>
    <t>DC allows credit on all transfers</t>
  </si>
  <si>
    <t>This would be a  zero invoice as the credit covers the debit amount.</t>
  </si>
  <si>
    <t>74,000 lbs Tractor</t>
  </si>
  <si>
    <t>X .016950</t>
  </si>
  <si>
    <t>x   .016950</t>
  </si>
  <si>
    <t>80,000 lb Tractor</t>
  </si>
  <si>
    <t>x  .016950</t>
  </si>
  <si>
    <t>$19.71 - $18.44 =$ 1.27 due</t>
  </si>
  <si>
    <t>Bus 38,000 lbs-35 passenger</t>
  </si>
  <si>
    <t>80,000 lb Tractor - Private</t>
  </si>
  <si>
    <t>Registration Fee I:</t>
  </si>
  <si>
    <t>Reg Fee I Due:</t>
  </si>
  <si>
    <t>Registration Fee II:</t>
  </si>
  <si>
    <t>Reg Fee II Due:</t>
  </si>
  <si>
    <t>Total Amount Due:</t>
  </si>
  <si>
    <t>Reg I Fee Due:</t>
  </si>
  <si>
    <t>Fee Due</t>
  </si>
  <si>
    <t>74,000 lb Tractor</t>
  </si>
  <si>
    <t>38,000 lb Bus</t>
  </si>
  <si>
    <t>Registration fee:</t>
  </si>
  <si>
    <t>Registration fee</t>
  </si>
  <si>
    <t>New fee</t>
  </si>
  <si>
    <t>x 1.695%</t>
  </si>
  <si>
    <t>Registration Due:</t>
  </si>
  <si>
    <t>CVET:</t>
  </si>
  <si>
    <t>CVET Due:</t>
  </si>
  <si>
    <t>TII:</t>
  </si>
  <si>
    <t>TII Due:</t>
  </si>
  <si>
    <t>Supplemental Hybrid/Electric Fee:</t>
  </si>
  <si>
    <t>Supplemental Hybrid/Electric Fee Due:</t>
  </si>
  <si>
    <t>Total Due:</t>
  </si>
  <si>
    <t>Delete</t>
  </si>
  <si>
    <t>Add</t>
  </si>
  <si>
    <t>Total Credited:</t>
  </si>
  <si>
    <t>Total Fee Due:</t>
  </si>
  <si>
    <t>38,000 lbs For Hire Bus</t>
  </si>
  <si>
    <t xml:space="preserve">80,000 lbs Tractor </t>
  </si>
  <si>
    <t xml:space="preserve">Registration Fee:    </t>
  </si>
  <si>
    <t xml:space="preserve">Apportion %: </t>
  </si>
  <si>
    <t>x 1.695 %</t>
  </si>
  <si>
    <t>80,000 lbs Tractor - 100% transfer credit</t>
  </si>
  <si>
    <t xml:space="preserve">Registration Fee: </t>
  </si>
  <si>
    <t>Fee</t>
  </si>
  <si>
    <t xml:space="preserve">Credit </t>
  </si>
  <si>
    <t>74,000 lbs Tractor x 7 months</t>
  </si>
  <si>
    <t>Total Fee:</t>
  </si>
  <si>
    <t>80,000 lbs Tractor x 6 months</t>
  </si>
  <si>
    <t>Fee:</t>
  </si>
  <si>
    <t>(80k x 6 mo)</t>
  </si>
  <si>
    <t xml:space="preserve">Credit: </t>
  </si>
  <si>
    <t>(74k x 6 mo)</t>
  </si>
  <si>
    <t>38,000 lbs Bus</t>
  </si>
  <si>
    <t>(Declared GVW on application)</t>
  </si>
  <si>
    <t>KS Fee Calculator - New Fee Details</t>
  </si>
  <si>
    <t>NEW_LAST_RULE_CHANGE_DATE</t>
  </si>
  <si>
    <t>NEW_LAST_FEE_CHANGE_DATE</t>
  </si>
  <si>
    <t>NEW_VEHICLE_MAX_GROSS_WEIGHT</t>
  </si>
  <si>
    <t>NEW_FEE_RATE_KEY</t>
  </si>
  <si>
    <t>NEW_FEE_RATE</t>
  </si>
  <si>
    <t>NEW_VEHICLE_PERCENT_TRAVEL</t>
  </si>
  <si>
    <t>NEW_FEE_COMPUTE</t>
  </si>
  <si>
    <t>1870*(1.695/100)</t>
  </si>
  <si>
    <t>NEW_WGT_FEE</t>
  </si>
  <si>
    <t>NEW_CMV_FEE_RATE</t>
  </si>
  <si>
    <t>NEW_CMV_FEE_COMPUTE</t>
  </si>
  <si>
    <t>400*(1.695/100)</t>
  </si>
  <si>
    <t>NEW_CMV_REG_FEE</t>
  </si>
  <si>
    <t>NEW_FEE_BEFORE_ROUND</t>
  </si>
  <si>
    <t>NEW_FEE_AFTER_ROUND</t>
  </si>
  <si>
    <t>Final Fee After Round</t>
  </si>
  <si>
    <t>1402.5*(1.695/100)</t>
  </si>
  <si>
    <t>300*(1.695/100)</t>
  </si>
  <si>
    <t>KS Fee Calculator - Old Fee Details</t>
  </si>
  <si>
    <t>OLD_LAST_RULE_CHANGE_DATE</t>
  </si>
  <si>
    <t>OLD_LAST_FEE_CHANGE_DATE</t>
  </si>
  <si>
    <t>OLD_VEHICLE_MAX_GROSS_WEIGHT</t>
  </si>
  <si>
    <t>OLD_VEHICLE_PERCENT_TRAVEL</t>
  </si>
  <si>
    <t>OLD_REG_FEE_KEY</t>
  </si>
  <si>
    <t>OLD_REG_FEE_RATE</t>
  </si>
  <si>
    <t>OLD_REG_FEE_COMPUTE</t>
  </si>
  <si>
    <t>OLD_REG_FEE</t>
  </si>
  <si>
    <t>OLD_CMV_CRD_FEE_COMPUTE</t>
  </si>
  <si>
    <t>OLD_CMV_REG_CREDIT_FEE</t>
  </si>
  <si>
    <t>CREDIT_FEE_BEFORE_ROUND</t>
  </si>
  <si>
    <t>CREDIT_FEE_AFTER_ROUND</t>
  </si>
  <si>
    <t>CREDIT_FINAL_FEE</t>
  </si>
  <si>
    <t>Final Fee Compute</t>
  </si>
  <si>
    <t>23.77-23.77</t>
  </si>
  <si>
    <t>Final Fee Compute Before Round</t>
  </si>
  <si>
    <t>974.17*(1.695/100)</t>
  </si>
  <si>
    <t>233.33*(1.695/100)</t>
  </si>
  <si>
    <t>835*(1.695/100)</t>
  </si>
  <si>
    <t>200*(1.695/100)</t>
  </si>
  <si>
    <t>935*(1.695/100)</t>
  </si>
  <si>
    <t>15.85-14.15</t>
  </si>
  <si>
    <t>575*(1.695/100)</t>
  </si>
  <si>
    <t>350*(1.695/100)</t>
  </si>
  <si>
    <t>Gross Weight Fee (Full Yr) for 80,000 lbs.:</t>
  </si>
  <si>
    <t>Apportion Percentage:</t>
  </si>
  <si>
    <t>Ad Valorem Factor Chart</t>
  </si>
  <si>
    <t>Factor</t>
  </si>
  <si>
    <t>Ad Valorem Fee</t>
  </si>
  <si>
    <t>Purchase Price:</t>
  </si>
  <si>
    <t>Ad Valorem Fee:</t>
  </si>
  <si>
    <t>Total Registration Fees &amp; Ad Valorem Fees Due:</t>
  </si>
  <si>
    <t xml:space="preserve">Registration Fee (Unit #1 Deleted) </t>
  </si>
  <si>
    <t>Months factor (9/12):</t>
  </si>
  <si>
    <t>Registration Fee Credit:</t>
  </si>
  <si>
    <t xml:space="preserve">Registration Fee (Unit #2 Added) </t>
  </si>
  <si>
    <t>Ad Valorem Fee (Unit #2 Added):</t>
  </si>
  <si>
    <t>Gross Weight Fee (Full Yr) for 74,000 lbs.:</t>
  </si>
  <si>
    <t>Months factor (7/12):</t>
  </si>
  <si>
    <t>Registration Fee (Unit #3 at Previous 74,000 GVW)</t>
  </si>
  <si>
    <t>Months factor (6/12):</t>
  </si>
  <si>
    <t>Registration Fee (Unit #3 at New 80,000 GVW)</t>
  </si>
  <si>
    <t>KY Fee Schedule contains a worksheet specific to Bus based on GVW</t>
  </si>
  <si>
    <t>Gross Weight Fee (Full Yr) for 38,000 lbs.:</t>
  </si>
  <si>
    <t>Apportioned %:</t>
  </si>
  <si>
    <t>Seats:</t>
  </si>
  <si>
    <t>Price per Seat:</t>
  </si>
  <si>
    <t>Gross Weight Fee:</t>
  </si>
  <si>
    <t>Gross Weight Fee (Full Yr) for 80,000 lbs.</t>
  </si>
  <si>
    <t xml:space="preserve">   Credit for Tractor Trailer Configuration</t>
  </si>
  <si>
    <t>Adjusted Gross Weight Fee (Full Yr)</t>
  </si>
  <si>
    <t xml:space="preserve">   x Jurisdiction Percentage</t>
  </si>
  <si>
    <t>Maine Apportioned Gross Weight Fee</t>
  </si>
  <si>
    <t>Maine AdValorem Tax Chart</t>
  </si>
  <si>
    <t>Year (model year of unit)</t>
  </si>
  <si>
    <t>Mil Rate</t>
  </si>
  <si>
    <t xml:space="preserve">Unit 1 Purchase Price </t>
  </si>
  <si>
    <t xml:space="preserve">   x mil rate for Yr 4 (2022)</t>
  </si>
  <si>
    <t>Maine Apportioned Ad Valorem Fee</t>
  </si>
  <si>
    <t>Total Maine Apportioned Reg Fee - Unit 1</t>
  </si>
  <si>
    <t>Maine Apportioned Gross Weight Fee (Full Yr)</t>
  </si>
  <si>
    <t xml:space="preserve">   x proration factor for 9 months</t>
  </si>
  <si>
    <t>Maine Apportioned Gross Weight Fee (9 mo's)</t>
  </si>
  <si>
    <t xml:space="preserve">   Credit for Gross Weight Fee Paid - Unit 1</t>
  </si>
  <si>
    <t xml:space="preserve">Unit 2 Purchase Price </t>
  </si>
  <si>
    <t xml:space="preserve">   x mil rate for Yr 3 (2023)</t>
  </si>
  <si>
    <t>Maine Apportioned Ad Valorem Fee (Full Yr)</t>
  </si>
  <si>
    <t>Maine Apportioned Ad Valorem Fee (9 mo's)</t>
  </si>
  <si>
    <t xml:space="preserve">   Credit for Ad Valorem Fee Paid - Unit 2</t>
  </si>
  <si>
    <t>Total Maine Apportioned Reg Fee - Unit 2</t>
  </si>
  <si>
    <t>Gross Weight Fee (Full Yr) for 74,000 lbs.</t>
  </si>
  <si>
    <t xml:space="preserve">   x proration factor for 7 months</t>
  </si>
  <si>
    <t>Maine Apportioned Gross Weight Fee (7 mo's)</t>
  </si>
  <si>
    <t xml:space="preserve">Unit 3 Purchase Price </t>
  </si>
  <si>
    <t>Maine Apportioned Ad Valorem Fee (7 mo's)</t>
  </si>
  <si>
    <t>Total Maine Apportioned Reg Fee - Unit 3</t>
  </si>
  <si>
    <t>Adjusted Yearly Gross Weight Fee</t>
  </si>
  <si>
    <t xml:space="preserve">   x proration factor for 6 months</t>
  </si>
  <si>
    <t>Maine Apportioned Gross Weight Fee (6 mo's)</t>
  </si>
  <si>
    <t xml:space="preserve">   Credit for Gross Weight Fee Paid @74,000 (6 mo's)</t>
  </si>
  <si>
    <t>Bus Fee:</t>
  </si>
  <si>
    <t>Yearly Bus Fee (Regardless of Weight)</t>
  </si>
  <si>
    <t>Maine Apportioned Bus Fee</t>
  </si>
  <si>
    <t>Ad Valorem Portion:</t>
  </si>
  <si>
    <t xml:space="preserve">Unit 10 Purchase Price </t>
  </si>
  <si>
    <t xml:space="preserve">   x mil rate for Yr 2 (2024)</t>
  </si>
  <si>
    <t>Total Maine Apportioned Reg Fee - Unit 10</t>
  </si>
  <si>
    <t xml:space="preserve">Gross Vehicle Weight 36,287 kgs  Truck Tractor </t>
  </si>
  <si>
    <t xml:space="preserve">Registration fee:  </t>
  </si>
  <si>
    <t xml:space="preserve">Prorate Tax: </t>
  </si>
  <si>
    <t xml:space="preserve">Registration fee </t>
  </si>
  <si>
    <t xml:space="preserve">Purchase Price (US) </t>
  </si>
  <si>
    <t>Apportion %                        (X)</t>
  </si>
  <si>
    <t>Tax Rate                    (X)</t>
  </si>
  <si>
    <t>Currency US                        (X)</t>
  </si>
  <si>
    <t>Prorate Percent       (X)</t>
  </si>
  <si>
    <t xml:space="preserve">Fee due:                 </t>
  </si>
  <si>
    <t>Time Factor              (X)</t>
  </si>
  <si>
    <t>Rounded to Near$</t>
  </si>
  <si>
    <t>Tax due:</t>
  </si>
  <si>
    <t xml:space="preserve">Total Fee </t>
  </si>
  <si>
    <t>(+)</t>
  </si>
  <si>
    <t>(=)</t>
  </si>
  <si>
    <t>U.S</t>
  </si>
  <si>
    <t>Canadian Calculation:</t>
  </si>
  <si>
    <t>Purchase Price (CDN)</t>
  </si>
  <si>
    <t>Apportion %                       (X)</t>
  </si>
  <si>
    <t xml:space="preserve">Fee due:           </t>
  </si>
  <si>
    <t>Purchase Price (US)</t>
  </si>
  <si>
    <t xml:space="preserve">Fee due:         </t>
  </si>
  <si>
    <t>Total Fee</t>
  </si>
  <si>
    <t>Prorate Vehicle Tax for delete vehicle - No Credit Given</t>
  </si>
  <si>
    <t xml:space="preserve">Reg fee (Delete Vehicle):  </t>
  </si>
  <si>
    <t xml:space="preserve">Reg fee (Add Vehicle):  </t>
  </si>
  <si>
    <t xml:space="preserve">Prorate Tax (Add Vehicle): </t>
  </si>
  <si>
    <t>Time Factor                         (X)</t>
  </si>
  <si>
    <t>Time Factor             (X)</t>
  </si>
  <si>
    <t>Tax Rate                     (X)</t>
  </si>
  <si>
    <t>Apportion %            (X)</t>
  </si>
  <si>
    <t>Prorate Percent        (X)</t>
  </si>
  <si>
    <t>Currency US            (X)</t>
  </si>
  <si>
    <t>Time Factor               (X)</t>
  </si>
  <si>
    <t>(-)</t>
  </si>
  <si>
    <t>Time Factor Days               (/)</t>
  </si>
  <si>
    <t>Time Factor Days    (/)</t>
  </si>
  <si>
    <t>Time Factor Days               (X)</t>
  </si>
  <si>
    <t>Time Factor Days    (X)</t>
  </si>
  <si>
    <t>Apportion %             (X)</t>
  </si>
  <si>
    <t xml:space="preserve">Total Fee  </t>
  </si>
  <si>
    <t xml:space="preserve">Gross Vehicle Weight 33,566 kgs  Truck Tractor </t>
  </si>
  <si>
    <t>U.S.</t>
  </si>
  <si>
    <t>No Prorate Vehicle Tax Charged on Weight Change</t>
  </si>
  <si>
    <t xml:space="preserve">Gross Vehicle Weight 33,566 kgs increased to 36,287 kgs  Truck Tractor </t>
  </si>
  <si>
    <t xml:space="preserve">Reg fee (Old Weight 33,566 kgs):  </t>
  </si>
  <si>
    <t xml:space="preserve">Reg fee (New Weight 36,287 kgs):  </t>
  </si>
  <si>
    <t>Time Factor          (X)</t>
  </si>
  <si>
    <t>Apportion %         (X)</t>
  </si>
  <si>
    <t>Currency US         (X)</t>
  </si>
  <si>
    <t>Time Factor Days              (X)</t>
  </si>
  <si>
    <t xml:space="preserve">Total Fee   </t>
  </si>
  <si>
    <t>Be sure to include in the rules if your jurisdiction goes by empty weight or gross weight.  If gross weight,</t>
  </si>
  <si>
    <t xml:space="preserve">be sure to specify how your jurisdiction defines gross weight. Example of gross weight: empty weight  </t>
  </si>
  <si>
    <t xml:space="preserve">150 pounds per seat or the gross weight that is designated on the application. </t>
  </si>
  <si>
    <r>
      <t xml:space="preserve">Gross Vehicle Weight 17,237 kgs / Tare Weight 11,791 kgs  Bus  -  </t>
    </r>
    <r>
      <rPr>
        <b/>
        <sz val="10"/>
        <color rgb="FF000000"/>
        <rFont val="Calibri"/>
        <family val="2"/>
        <scheme val="minor"/>
      </rPr>
      <t>Registration Fee based on Number of Seats (35)</t>
    </r>
  </si>
  <si>
    <t>Currency US                       (X)</t>
  </si>
  <si>
    <t>Registration fee is 22.75 per thousand</t>
  </si>
  <si>
    <t>74,000 lb Tractor $842.50 x 1.695% = $14.28</t>
  </si>
  <si>
    <t>Diffrerence = $1.14</t>
  </si>
  <si>
    <t>Bus with 35 seats</t>
  </si>
  <si>
    <t>Apportion %1.695%</t>
  </si>
  <si>
    <t xml:space="preserve">MA Fee Due:  </t>
  </si>
  <si>
    <t xml:space="preserve">Registration fee for Add:  </t>
  </si>
  <si>
    <t>Add Fee:</t>
  </si>
  <si>
    <t xml:space="preserve">Registration fee for Delete:  </t>
  </si>
  <si>
    <t>Delete Credit:</t>
  </si>
  <si>
    <t>MA Fee Due:</t>
  </si>
  <si>
    <t>IGW</t>
  </si>
  <si>
    <t>Credit</t>
  </si>
  <si>
    <t>IGW Fees</t>
  </si>
  <si>
    <t>MA Fee Due</t>
  </si>
  <si>
    <t>Fees are per seat</t>
  </si>
  <si>
    <t>Restration Fee: $1,992.00</t>
  </si>
  <si>
    <t>Apportion %       x1.695</t>
  </si>
  <si>
    <t xml:space="preserve">Add </t>
  </si>
  <si>
    <t xml:space="preserve">  80,000 lbs Tractor</t>
  </si>
  <si>
    <t>Registration Fee  $1,494.00</t>
  </si>
  <si>
    <t xml:space="preserve">Registration Fee              </t>
  </si>
  <si>
    <t xml:space="preserve">Apportion %        x1.695%    </t>
  </si>
  <si>
    <t>Apportion %                         x1.695%</t>
  </si>
  <si>
    <t>Added Unit Fee    $25.32</t>
  </si>
  <si>
    <t>Deleted Unit Fee                 $25.32</t>
  </si>
  <si>
    <t>Added Unit Fee     $ 25.32</t>
  </si>
  <si>
    <t>Deleted Unit Fee   ($25.32)</t>
  </si>
  <si>
    <t>Fee Due:                  $0.00</t>
  </si>
  <si>
    <t>Registration Fee    $1162.00</t>
  </si>
  <si>
    <t>Apportion              x     1.695 %</t>
  </si>
  <si>
    <t>Fee Due                      $19.70</t>
  </si>
  <si>
    <t>Increase GVW  80,000 lbs Tractor</t>
  </si>
  <si>
    <t>Credit GVW 74,000 lbs</t>
  </si>
  <si>
    <t>Registration Fee    $996.00</t>
  </si>
  <si>
    <t>Registration Fee  $996.00</t>
  </si>
  <si>
    <t>Apportion %          1.695 %</t>
  </si>
  <si>
    <t>Fee Due                      $16.88</t>
  </si>
  <si>
    <t>Deleted Unit Fee $16.88</t>
  </si>
  <si>
    <t>Increase GVW Fee:   $16.88</t>
  </si>
  <si>
    <t>Credit                             ( $16.88)</t>
  </si>
  <si>
    <t>Fee Due                           $ 0.00</t>
  </si>
  <si>
    <t xml:space="preserve">Empty weight = 25995 </t>
  </si>
  <si>
    <t>25995 ÷ 100 = 260</t>
  </si>
  <si>
    <t>Registration fee: 260 x $3.25 = $845.00</t>
  </si>
  <si>
    <t>service fee = $8.00 (do not prorate this fee)</t>
  </si>
  <si>
    <t>$845 + $8 = $853.00</t>
  </si>
  <si>
    <t>$853 * 1.695% = $14.46</t>
  </si>
  <si>
    <t>Fee due</t>
  </si>
  <si>
    <t>9 months</t>
  </si>
  <si>
    <t>7 months</t>
  </si>
  <si>
    <t>Charge Schedule I and Schedule II</t>
  </si>
  <si>
    <t>Example</t>
  </si>
  <si>
    <t>80,000 lbs, Full Year Fee</t>
  </si>
  <si>
    <t>Schedule I (1050.50) + Schedule II (669.00) = 1719.50 x % = 29.15 (total due)</t>
  </si>
  <si>
    <t>Special Instructions</t>
  </si>
  <si>
    <t>The 26,000 lb weight category is not charged fees on Schedule II</t>
  </si>
  <si>
    <t>No charge on same weight</t>
  </si>
  <si>
    <t>78,000 lbs - 7 month fee</t>
  </si>
  <si>
    <t>Schedule I (787.88) + Schedule II (450.00) = 1237.88 x 1.695% = 20.98 (total due)</t>
  </si>
  <si>
    <t xml:space="preserve">Missouri does not have a 74,000 lb plate weight. </t>
  </si>
  <si>
    <t>Missouri fees on this test were calculated at 78,000 lb plate weight for MO and, 74,000 lb for all the other jurisdictions.</t>
  </si>
  <si>
    <t>Charge the difference in weights on Schedule I and Schedule II</t>
  </si>
  <si>
    <t>80,000 lbs Schedule I (525.25) - 78,000 lbs Schedule I (525.25) = 0</t>
  </si>
  <si>
    <t>80,000 lbs Schedule II (334.50) - 78,000 lbs Schedule II (300.00) = 34.50</t>
  </si>
  <si>
    <t>34.50 x 1.695% = 0.58 (total due)</t>
  </si>
  <si>
    <t>Based on seats</t>
  </si>
  <si>
    <t>80000 lb tractor</t>
  </si>
  <si>
    <t>GVW fee:$750.00</t>
  </si>
  <si>
    <t>Registration Fee: $22.75</t>
  </si>
  <si>
    <t>Apportion Fee % X 1.695%</t>
  </si>
  <si>
    <t>Credit given for GVW-$9.53</t>
  </si>
  <si>
    <t>GVW fee:$62.50 X 9 = $562.50</t>
  </si>
  <si>
    <t>Credit $9.53</t>
  </si>
  <si>
    <t>74000 lb tractor</t>
  </si>
  <si>
    <t>GVW fee:$50.63 X 7 =$354.41</t>
  </si>
  <si>
    <t>Fee Due:$10.11</t>
  </si>
  <si>
    <t>weight increase from 74000 to 80000</t>
  </si>
  <si>
    <t>GVW fee:$50.63 X 6 = $303.78</t>
  </si>
  <si>
    <t>credit given for 74000 = $50.63 X 6 =303.78 X 1.695% = $5.15</t>
  </si>
  <si>
    <t>80000 GVW = $62.50 X 6 = $375.00 X 1.695 % = $6.36</t>
  </si>
  <si>
    <t>$9.93 - $8.72 = $ 1.21</t>
  </si>
  <si>
    <t>Fee Due:$1.21</t>
  </si>
  <si>
    <t>38000-Bus GVW</t>
  </si>
  <si>
    <t>GVW fee:$215.00</t>
  </si>
  <si>
    <t>Months factor (12/12):</t>
  </si>
  <si>
    <t>Registration Fee Due:</t>
  </si>
  <si>
    <t>BGST Fee</t>
  </si>
  <si>
    <t>Factory Price from Fee TEST 1:</t>
  </si>
  <si>
    <t>&lt;--- Factory price is higher, need to use this price</t>
  </si>
  <si>
    <t>NV OPC Chart Price for 2022 Truck/Tractor 3 axles:</t>
  </si>
  <si>
    <t>MSRP Factor for model year (2022):</t>
  </si>
  <si>
    <t>Calculated BGST Fee:</t>
  </si>
  <si>
    <t>BGST Fee Rounded to nearest whole dollar:</t>
  </si>
  <si>
    <t>Final BGST Fee Due:</t>
  </si>
  <si>
    <t>Total Registration Fees &amp; BGST Fees Due:</t>
  </si>
  <si>
    <t xml:space="preserve">BGST Fee (Unit #1 Deleted) </t>
  </si>
  <si>
    <t>Factory Price from Fee TEST 2:</t>
  </si>
  <si>
    <t>BGST Fee Credit:</t>
  </si>
  <si>
    <t>Final BGST Fee Credit (rounded to nearest cent):</t>
  </si>
  <si>
    <t xml:space="preserve">BGST Fee (Unit #2 Added) </t>
  </si>
  <si>
    <t>Factory Price from Fee TEST 3:</t>
  </si>
  <si>
    <t>NV OPC Chart Price for 2023 Truck/Tractor 3 axles:</t>
  </si>
  <si>
    <t>MSRP Factor for model year (2023):</t>
  </si>
  <si>
    <t>BGST Fee Due:</t>
  </si>
  <si>
    <t>Final BGST Fee Due (rounded to nearest cent):</t>
  </si>
  <si>
    <t>Registration Fee (rounded to nearest cent):</t>
  </si>
  <si>
    <t>Factory Price from Fee TEST 4:</t>
  </si>
  <si>
    <t>BGST Fee:</t>
  </si>
  <si>
    <t>Final BGST Fee (rounded to nearest cent):</t>
  </si>
  <si>
    <t>BGST Fee (Unit #3 at Previous 74,000 GVW)</t>
  </si>
  <si>
    <t>Final BGST Fee Credit:</t>
  </si>
  <si>
    <t>BGST Fee (Unit #3 at New 80,000 GVW)</t>
  </si>
  <si>
    <t>NV Bus Registration Fees are based on GVW</t>
  </si>
  <si>
    <t>Factory Price from Fee TEST 6:</t>
  </si>
  <si>
    <t>NV OPC Chart Price for 2024 Bus:</t>
  </si>
  <si>
    <t>&lt;--- NV OPC Chart price is higher, need to use this price</t>
  </si>
  <si>
    <t>OPC Factor for model year (2024):</t>
  </si>
  <si>
    <t xml:space="preserve">NH Fee Due:  </t>
  </si>
  <si>
    <t>NH Fee Due:</t>
  </si>
  <si>
    <t>Start GVW</t>
  </si>
  <si>
    <t>End GVW</t>
  </si>
  <si>
    <t>NH Fee Due</t>
  </si>
  <si>
    <t>Large Truck Fee Schedule 12 Months @ 80,000 Private</t>
  </si>
  <si>
    <t>Registration Fee:    =  $1059.00</t>
  </si>
  <si>
    <t>Apportion % :          X1.695%</t>
  </si>
  <si>
    <t>Fee Due:                     = $18.00</t>
  </si>
  <si>
    <t>Large Truck Fee Schedule 12 Months @ 80,000 Haul For Hire</t>
  </si>
  <si>
    <t>Large Truck Fee Schedule 9 Months</t>
  </si>
  <si>
    <t>Deletion 8 Months Credit</t>
  </si>
  <si>
    <t>Total</t>
  </si>
  <si>
    <t>Registration Fee:    =  $795.00</t>
  </si>
  <si>
    <t>Registration Fee:    =  $14.00</t>
  </si>
  <si>
    <t>Credit Due:               -  $14.00</t>
  </si>
  <si>
    <t>Fee Due:                     = $14.00</t>
  </si>
  <si>
    <t>Credit Due:                = $14.00</t>
  </si>
  <si>
    <t>Fee Due                      = $0.00</t>
  </si>
  <si>
    <t>Large Truck Fee Scheduale 7 Months @74,000</t>
  </si>
  <si>
    <t>Registration Fee:    =  $547.00</t>
  </si>
  <si>
    <t>Fee Due:                   = $10.00</t>
  </si>
  <si>
    <t>Original Addition Supplement @74,000</t>
  </si>
  <si>
    <t>Weight Increase @ 80,000</t>
  </si>
  <si>
    <t>Registration Fee:    =  $530.00</t>
  </si>
  <si>
    <t>Original:                   $10.00</t>
  </si>
  <si>
    <t>Weight Increase:  -  $9.00</t>
  </si>
  <si>
    <t>Fee Due:                   = $9.00</t>
  </si>
  <si>
    <t>Total Fee Due:       =  $1.00</t>
  </si>
  <si>
    <t>Large Truck Fee Scheduale 12 Months @ 38,000</t>
  </si>
  <si>
    <t>Registration Fee:    =  $379.00</t>
  </si>
  <si>
    <t>Fee Due:                      = $7.00</t>
  </si>
  <si>
    <t>36,287 KG. TRACTOR</t>
  </si>
  <si>
    <t>ANNUAL REGISTRATION FEE:</t>
  </si>
  <si>
    <t>APPORTION %:</t>
  </si>
  <si>
    <t>x 1.694%</t>
  </si>
  <si>
    <t>FEE DUE:</t>
  </si>
  <si>
    <t>DELETED VEHICLE 36,287 KGS TRACTOR AND ADD VEHICLE IS 36,287 KGS TRACTOR (SAME WEIGHT)</t>
  </si>
  <si>
    <t>DELETED VEHICLE:</t>
  </si>
  <si>
    <t>ADD VEHICLE:</t>
  </si>
  <si>
    <t>33,566 KG. TRACTOR</t>
  </si>
  <si>
    <t>divided by 12 months = $170.08 per month</t>
  </si>
  <si>
    <t>EQUIPMENT #3 (33,566 KGS TRACTOR)</t>
  </si>
  <si>
    <t>$2041.00 DIVIDED BY 12 MONTHS = $170.08 = $170.08 PER MONTH</t>
  </si>
  <si>
    <t>X 1.694% = $2.88 x 6 MONTH REGISTRATION</t>
  </si>
  <si>
    <t>INCREASE WEGIHT TO 36,287 KGS TRACTOR</t>
  </si>
  <si>
    <t>$2193.00 DIVIDED BY 12 MONTHS = $182.75 = $182.75 PER MONTH</t>
  </si>
  <si>
    <t>X 1.694% = $3.10 X 6 MONTH REGISTRATION</t>
  </si>
  <si>
    <t>DIFFERENCE: $1.32</t>
  </si>
  <si>
    <t>BUSES CALCULATED IN NEWFOUNDLAND &amp; LABRADOR</t>
  </si>
  <si>
    <t>GVW = (# OF SEATS X 68) X TARE</t>
  </si>
  <si>
    <t>12 MONTHS</t>
  </si>
  <si>
    <t>80,000lbs Tractor</t>
  </si>
  <si>
    <t>Registration Fee (TR):</t>
  </si>
  <si>
    <t>Apportion %:</t>
  </si>
  <si>
    <t>with credit of $17.75=NO CHARGE</t>
  </si>
  <si>
    <t>74,000 lbs.  Tractor</t>
  </si>
  <si>
    <t>74,000 lbs. Tractor  &gt;&gt;&gt;  80,0000 lbs. Tractor</t>
  </si>
  <si>
    <t>74,000 lbs. Tractor</t>
  </si>
  <si>
    <t>80,000 lbs. Tractor</t>
  </si>
  <si>
    <t>GVW 38,000lbs - 35 passenger</t>
  </si>
  <si>
    <t>Registration Fee (BS):</t>
  </si>
  <si>
    <t xml:space="preserve">Registration fee: </t>
  </si>
  <si>
    <t>ARCS fee</t>
  </si>
  <si>
    <t>ARCS fee due</t>
  </si>
  <si>
    <t>Fee due Oklahoma:</t>
  </si>
  <si>
    <t>16.00 + 1.70 = 17.70</t>
  </si>
  <si>
    <t>Deletion</t>
  </si>
  <si>
    <t>Addition</t>
  </si>
  <si>
    <t>Less: credit amount</t>
  </si>
  <si>
    <t>0.00 + 1.70 = 1.70</t>
  </si>
  <si>
    <t>870/12 = 72.5 x 7 = 507.50</t>
  </si>
  <si>
    <t>9.00 + 1.70 = 10.70</t>
  </si>
  <si>
    <t>72.5 x 6 = 435 x 1.695% = 7.37 credit</t>
  </si>
  <si>
    <t>79 x 6 = 474 x 1.695% = 8.30</t>
  </si>
  <si>
    <t>Bus formula based upon year of registration and seating capacity</t>
  </si>
  <si>
    <t>Reg yr. = current yr. - model yr. + 1</t>
  </si>
  <si>
    <t>2020 - 2019 + 1 = 2 registration years</t>
  </si>
  <si>
    <t>2nd year registration 24 seats or more = $8.00</t>
  </si>
  <si>
    <t>$8.00 x 35</t>
  </si>
  <si>
    <t>x1.695%</t>
  </si>
  <si>
    <t>5.00 + 1.70 = 6.70</t>
  </si>
  <si>
    <t xml:space="preserve">36, 287 kg Tractor </t>
  </si>
  <si>
    <t>Registration fee:  2603.00</t>
  </si>
  <si>
    <t xml:space="preserve">Total fee               = 44.12085 </t>
  </si>
  <si>
    <t>Total fee Rounded = 45.00 (Ontario registration fees are always rounded up to the next whole dollar)</t>
  </si>
  <si>
    <t>Registration fee:  1979.00</t>
  </si>
  <si>
    <t>Total fee               = 33.54405 rounded to 34.00 (Ontario registration fees are always rounded up to the next whole dollar)</t>
  </si>
  <si>
    <t>Add Vehicle</t>
  </si>
  <si>
    <t>Net registration 34.00 - 34.00 = 0.00</t>
  </si>
  <si>
    <t>Fee due:                  0.00 (0.00 U.S.)</t>
  </si>
  <si>
    <t xml:space="preserve">33, 566 kg Tractor </t>
  </si>
  <si>
    <t>Registration fee:  1424.00</t>
  </si>
  <si>
    <t xml:space="preserve">Total fee               = 24.1368 </t>
  </si>
  <si>
    <t>Total fee Rounded = 25.00 (Ontario registration fees are always rounded up to the next whole dollar)</t>
  </si>
  <si>
    <t>Old Weight</t>
  </si>
  <si>
    <t>Registration fee:  1234</t>
  </si>
  <si>
    <t>Total fee               = 20.9163 rounded to 21.00 (Ontario registration fees are always rounded up to the next whole dollar)</t>
  </si>
  <si>
    <t>New Weight</t>
  </si>
  <si>
    <t>Registration fee:  1354.00</t>
  </si>
  <si>
    <t>Total fee               = 22.9503 rounded to 23.00 (Ontario registration fees are always rounded up to the next whole dollar)</t>
  </si>
  <si>
    <t>Net registration 21.00 - 23.00 = 2.00</t>
  </si>
  <si>
    <t xml:space="preserve">17, 237 kg Bus </t>
  </si>
  <si>
    <t>Registration fee:  953.75</t>
  </si>
  <si>
    <t>Total fee               = 16.166062</t>
  </si>
  <si>
    <t>Total fee Rounded = 17.00 (Ontario registration fees are always rounded up to the next whole dollar)</t>
  </si>
  <si>
    <t>Delete Vehicle</t>
  </si>
  <si>
    <t>Ontario fee rules example for a delete vehicle where the effective date (i.e. date plates are returned) is April 1, 2025 and the fleet expiry date is December 31, 2025</t>
  </si>
  <si>
    <t>(Ontario delete vehicle refund fees are calculated using the annual fee table amount divided by 12 and multiplied by the remaining months of validation, minus the month the physical plates are returned (i.e. if plates are returned April 1, April will not be included in the remaining months validation that the refund fees are calculated on))</t>
  </si>
  <si>
    <t>36, 287 kg Tractor</t>
  </si>
  <si>
    <t>Registration fee: 2603.00 divided by 12 x 8 = 1735.33</t>
  </si>
  <si>
    <t>Total fee               = 29.413843</t>
  </si>
  <si>
    <t>Total fee Rounded = 29.00 (Ontario refunds are always rounded down to the next whole dollar)</t>
  </si>
  <si>
    <t xml:space="preserve">Refund due:                  29.00 </t>
  </si>
  <si>
    <t>Fees are prorated quarterly (12-10 months; 9-7 months; 6-4 months; 3-1 months)</t>
  </si>
  <si>
    <t>Fees are based on weight and number of months</t>
  </si>
  <si>
    <t>Fee is for 4 quarters of registration at 80,000 lbs.</t>
  </si>
  <si>
    <t>Registration fee: $998.00</t>
  </si>
  <si>
    <t>Apportion %: 1.695%</t>
  </si>
  <si>
    <t xml:space="preserve">Fee Due: </t>
  </si>
  <si>
    <t>Added:</t>
  </si>
  <si>
    <t>Deleted:</t>
  </si>
  <si>
    <t>3 quarters at 80,000 lbs</t>
  </si>
  <si>
    <t>Fees Assessed:</t>
  </si>
  <si>
    <t>Credit Applied:</t>
  </si>
  <si>
    <t>Fee is for 3 quarters of registration at 74,000 lbs</t>
  </si>
  <si>
    <t>Registration fee:               690.75</t>
  </si>
  <si>
    <t>Fees due                               11.71</t>
  </si>
  <si>
    <t>Fee is for 2 quarters of registration</t>
  </si>
  <si>
    <t>Registration fee at 80,000lbs:                         499.00</t>
  </si>
  <si>
    <t xml:space="preserve">                          Difference                                       38.50</t>
  </si>
  <si>
    <t>Fees due:                                                                    0.65</t>
  </si>
  <si>
    <t>Fees for buses are prorated quarterly (12-10 months; 9-7 months; 6-4 months; 3-1 months)</t>
  </si>
  <si>
    <t>Fee is for 4 quarters of registration at 38000 lbs.</t>
  </si>
  <si>
    <t>Schedule of Vehicle Registration Fees</t>
  </si>
  <si>
    <t>80,000 lb Tractor for 12 months</t>
  </si>
  <si>
    <t>Schedule #1</t>
  </si>
  <si>
    <t>Schedule #2                          +</t>
  </si>
  <si>
    <t>Total                                         =</t>
  </si>
  <si>
    <t>X   1.695%</t>
  </si>
  <si>
    <t>Fee due:</t>
  </si>
  <si>
    <t>(Rounded)</t>
  </si>
  <si>
    <t>Schedule #2                           +</t>
  </si>
  <si>
    <t>Total:</t>
  </si>
  <si>
    <t>Pennsylvania does not charge for a vehicle transfer when the weights</t>
  </si>
  <si>
    <t>are in the same weight groups.</t>
  </si>
  <si>
    <t>74,000 lb Tractor for  7 months</t>
  </si>
  <si>
    <t>Shedule #2                             +</t>
  </si>
  <si>
    <t>Total Fee                                 =</t>
  </si>
  <si>
    <t>80,000 lb for 6 months</t>
  </si>
  <si>
    <t>74,000 lb for 6 months</t>
  </si>
  <si>
    <t>Pennsylvania calculates by seating capacity of the BUS</t>
  </si>
  <si>
    <t>Schedule # 3B - BUS</t>
  </si>
  <si>
    <t>35 Seats &amp; 12 months</t>
  </si>
  <si>
    <t xml:space="preserve">Example: 80,000 lb Tractor </t>
  </si>
  <si>
    <t>Registration Fee for Private Carrier, based on 36287 kgs for 12 months</t>
  </si>
  <si>
    <t xml:space="preserve">$1,634.00 x .01695 = $27.69 CDN  Rounded $28.00 </t>
  </si>
  <si>
    <t>Total Fee Due - $28.00</t>
  </si>
  <si>
    <t>Registration Fee for - For Hire carrier, based on 36,287 kgs for 12 months</t>
  </si>
  <si>
    <t xml:space="preserve">$1,634.00 x .01695 = $27.69 CDN Rounded $28.00 </t>
  </si>
  <si>
    <t xml:space="preserve">Rounded </t>
  </si>
  <si>
    <t>$28.00 CDN</t>
  </si>
  <si>
    <t xml:space="preserve">Total Fee Due  $28.00 CDN </t>
  </si>
  <si>
    <t>Add/Delete Vehicle, Registration Fee based on 36,287 kgs for 9 months</t>
  </si>
  <si>
    <t>Deleted Vehicle</t>
  </si>
  <si>
    <t xml:space="preserve">$1,225.44 x .01695 = $20.77 CDN Rounded $21.00 </t>
  </si>
  <si>
    <t>Added Vehicle</t>
  </si>
  <si>
    <t>Total fee due: $0.00</t>
  </si>
  <si>
    <t>Add Vehicle - Registration Fee for 33,566 kgs for 7 months</t>
  </si>
  <si>
    <t>$838.25 x .01695 = $14.20 CDN Rounded $14.00</t>
  </si>
  <si>
    <t xml:space="preserve">Total Fee due $14.00 CDN </t>
  </si>
  <si>
    <t>Registration Fee for Increase in Weight based on 6 months</t>
  </si>
  <si>
    <t>Previous GVW 33,566 kgs</t>
  </si>
  <si>
    <t>$718.50 x .01695 = $12.18 CDN Rounded $12.00</t>
  </si>
  <si>
    <t>Increased GVW 36,287 kgs</t>
  </si>
  <si>
    <t>$816.96  x .01695 = $ 13.84 CDN Rounded $14.00</t>
  </si>
  <si>
    <t xml:space="preserve">Total Fee Due               CDN $ 2.00 </t>
  </si>
  <si>
    <t>Registration calculation based on 14,031 kgs for 12 months.  The following bus formula determines the GVW.</t>
  </si>
  <si>
    <t>Bus Formula - 64 kgs x number of passengers plus unladen weight = 14, 031 kgs</t>
  </si>
  <si>
    <t>64 x 35 seats=2,240 + 11791 kgs unladen weight = 14,031 kgs</t>
  </si>
  <si>
    <t>$628.00 x .01695 = $10.64 CDN  Rounded $11.00</t>
  </si>
  <si>
    <t xml:space="preserve">Total Fee Due =   CDN $11.00   </t>
  </si>
  <si>
    <t>QUEBEC FINAL FEES ARE ROUNDED OFF AS FOLLOWS :</t>
  </si>
  <si>
    <t>(1) where the amount is less than $10, to the nearest multiple of $0.05;</t>
  </si>
  <si>
    <t>(2) where the amount is equal to or greater than $10 but less than $25, to the nearest multiple of $0.10;</t>
  </si>
  <si>
    <t>(3) where the amount is equal to or greater than $25 but less than $100, to the nearest multiple of $0.25;</t>
  </si>
  <si>
    <t>(4) where the amount is equal to or greater than $100, to the nearest multiple of $1.00.</t>
  </si>
  <si>
    <t>An amount that is equidistant from 2 multiples is rounded off to the greater thereof.</t>
  </si>
  <si>
    <t>CDN $</t>
  </si>
  <si>
    <t>Fee due (CDN):</t>
  </si>
  <si>
    <t xml:space="preserve">rounded off to the nearest multiple of $ 0.25 = </t>
  </si>
  <si>
    <t>CDN</t>
  </si>
  <si>
    <t>US</t>
  </si>
  <si>
    <t>Delete vehicle #1 :</t>
  </si>
  <si>
    <t>Add : 5 axles for Quebec Tractor Trailer</t>
  </si>
  <si>
    <t>Number of months:</t>
  </si>
  <si>
    <t xml:space="preserve">Total fee due: </t>
  </si>
  <si>
    <t>CDN &amp; US</t>
  </si>
  <si>
    <t>New GVW : 6 axles for Quebec Tractor Trailer</t>
  </si>
  <si>
    <t>Fee due (new GVW):</t>
  </si>
  <si>
    <t xml:space="preserve"> CDN </t>
  </si>
  <si>
    <t>QC Registration Fee for BUSES are based on UNLADEN WEIGHT</t>
  </si>
  <si>
    <t>rounded off  to the nearest multiple of $ 0.10 =</t>
  </si>
  <si>
    <t xml:space="preserve">SD Fee Due:  </t>
  </si>
  <si>
    <t>SD Fee Due:</t>
  </si>
  <si>
    <t>SD Fee Due</t>
  </si>
  <si>
    <t xml:space="preserve">Fee due:               </t>
  </si>
  <si>
    <t xml:space="preserve">12 Month Reg Fee from Reg Chart for 80,000 lbs </t>
  </si>
  <si>
    <t>Apportioned mileage %</t>
  </si>
  <si>
    <t>Apportioned Weight Fee</t>
  </si>
  <si>
    <t>Total Fee Due</t>
  </si>
  <si>
    <t>Added Unit</t>
  </si>
  <si>
    <t xml:space="preserve">9 Month Reg Fee from Reg Chart for 80,000 lbs </t>
  </si>
  <si>
    <t>Total Fee Charged</t>
  </si>
  <si>
    <t>Deleted Unit</t>
  </si>
  <si>
    <t>Total Fee Credited</t>
  </si>
  <si>
    <t xml:space="preserve">7 Month Reg Fee from Reg Chart for 74,000 lbs </t>
  </si>
  <si>
    <t>Fee for Higher Weight</t>
  </si>
  <si>
    <t xml:space="preserve">6 Month Reg Fee from Reg Chart for 80,000 lbs </t>
  </si>
  <si>
    <t>Credit for Lower Weight</t>
  </si>
  <si>
    <t xml:space="preserve">6 Month Reg Fee from Reg Chart for 74,000 lbs </t>
  </si>
  <si>
    <t>(Bus uses same schedule as Straight Truck - based on GVW)</t>
  </si>
  <si>
    <t>12 Month Reg Fee from Reg Chart for 38,000 lbs</t>
  </si>
  <si>
    <t>apportioned mileage %</t>
  </si>
  <si>
    <t>Diesel Fee (11 %)</t>
  </si>
  <si>
    <t>Weight Fee</t>
  </si>
  <si>
    <t>Ad             Valorem    Fee</t>
  </si>
  <si>
    <t>TOTAL   FEE</t>
  </si>
  <si>
    <t>80,000 LB TRACTOR</t>
  </si>
  <si>
    <t>REGISTRATION FEE:</t>
  </si>
  <si>
    <t>AD VALOREM:</t>
  </si>
  <si>
    <t>($136,000 Purchase Price x 0.013738 First Year)</t>
  </si>
  <si>
    <t>TOTAL FEE:</t>
  </si>
  <si>
    <t>APPORTIONED %</t>
  </si>
  <si>
    <t>No Change in WV Fees Due to Carrier Type</t>
  </si>
  <si>
    <t>($199,720 Purchase Price x 0.013738 First Year)</t>
  </si>
  <si>
    <t>AD VALOREM CREDIT:</t>
  </si>
  <si>
    <t>TIME FACTOR:</t>
  </si>
  <si>
    <t>($190,000 Purchase Price x 0.013738 First Year)</t>
  </si>
  <si>
    <t>31,245 lbs. (Empty Weight Plus 150 lbs Per Seat)</t>
  </si>
  <si>
    <t>($359,000 Purchase Price x 0.013738 First Year)</t>
  </si>
  <si>
    <t>Weight:</t>
  </si>
  <si>
    <t>Truck/Tractor</t>
  </si>
  <si>
    <t>Registration Period:</t>
  </si>
  <si>
    <t>Months</t>
  </si>
  <si>
    <t>Base Fee:</t>
  </si>
  <si>
    <t>Apportioned Fee</t>
  </si>
  <si>
    <t>(See applicable calculation model tab)</t>
  </si>
  <si>
    <t xml:space="preserve">(=Base Fee x Apportion %) </t>
  </si>
  <si>
    <t>Base Credit:</t>
  </si>
  <si>
    <t>80,000# @ 9mos * 1.695% apportion%</t>
  </si>
  <si>
    <t>74,000# @ 6mos * 1.695% apportion%</t>
  </si>
  <si>
    <t>Excise fee:</t>
  </si>
  <si>
    <t>Total fee:</t>
  </si>
  <si>
    <t>=</t>
  </si>
  <si>
    <t>Total 9 mo fee</t>
  </si>
  <si>
    <t>Total 7 mo fee:</t>
  </si>
  <si>
    <t>74,000 lbs</t>
  </si>
  <si>
    <t>80,000 lbs</t>
  </si>
  <si>
    <t>Total 6 mo fee:</t>
  </si>
  <si>
    <t>Registration fee based on gross weight as designated on application, 38K pounds</t>
  </si>
  <si>
    <t>Total Fees</t>
  </si>
  <si>
    <t xml:space="preserve"> $-   </t>
  </si>
  <si>
    <t>Registration fee: 400.00 (12 month fee)</t>
  </si>
  <si>
    <t>Apportion %        X 1.695%</t>
  </si>
  <si>
    <t>Fee due:                   6.78</t>
  </si>
  <si>
    <t>AAVT fee: 275.00 (12 month fee)</t>
  </si>
  <si>
    <t>Fee due:                   4.66</t>
  </si>
  <si>
    <t>Total fee:               11.44</t>
  </si>
  <si>
    <t>Registration fee: 725.00 (12 month fee)</t>
  </si>
  <si>
    <t>Fee due:                   12.29</t>
  </si>
  <si>
    <t>Total fee:               16.95</t>
  </si>
  <si>
    <t>Registration fee: 543.74 (nine month fee)</t>
  </si>
  <si>
    <t>Apportion %          X 1.695%</t>
  </si>
  <si>
    <t>Fee amount:             9.22</t>
  </si>
  <si>
    <t>Credit amount:        9.22</t>
  </si>
  <si>
    <t>Fee due:                     0</t>
  </si>
  <si>
    <t>AAVT fee: 206.25 (nine month fee)</t>
  </si>
  <si>
    <t>Fee amount:             3.50</t>
  </si>
  <si>
    <t>Credit amount:        3.50</t>
  </si>
  <si>
    <t xml:space="preserve">Registration fee: 422.90 (7 month fee) </t>
  </si>
  <si>
    <t>Fee Due:                     7.17</t>
  </si>
  <si>
    <t>AAVT fee: 160.42 (7 month fee)</t>
  </si>
  <si>
    <t>Fee due:                   2.72</t>
  </si>
  <si>
    <t>Total fee:                 9.89</t>
  </si>
  <si>
    <t>Registration fee: 362.48 (6 month fee)</t>
  </si>
  <si>
    <t>Fee amount:             6.14</t>
  </si>
  <si>
    <t>Credit amount:        6.14</t>
  </si>
  <si>
    <t>AAVT fee: 137.51 (6 month fee)</t>
  </si>
  <si>
    <t>Fee amount:             2.33</t>
  </si>
  <si>
    <t>Credit amount:        2.33</t>
  </si>
  <si>
    <t>Fee due:             14.82</t>
  </si>
  <si>
    <t>Fee due:               2.12</t>
  </si>
  <si>
    <t>Total due:          16.94</t>
  </si>
  <si>
    <t xml:space="preserve">           NB Travel Percentage:               1.695%</t>
  </si>
  <si>
    <t xml:space="preserve">           Months Remaining until expiry:  12</t>
  </si>
  <si>
    <t xml:space="preserve">           Gross Vehicle Weight:                36,287 kg </t>
  </si>
  <si>
    <t xml:space="preserve">          12 month fee for 36,287 kg:       $2121</t>
  </si>
  <si>
    <t xml:space="preserve">           Calculate Fee       = 12 month fee X 1.695%</t>
  </si>
  <si>
    <t xml:space="preserve">                                              = $2121 X 0.01695</t>
  </si>
  <si>
    <t xml:space="preserve">                                              =  $ 35.95 NB Fee Due</t>
  </si>
  <si>
    <t xml:space="preserve">                                              =  $ 35.95 CDN x 0.7423 = $ 26.69 US</t>
  </si>
  <si>
    <t xml:space="preserve">                                               =  $ 35.95 CDN x 0.7423 = $ 26.69 US</t>
  </si>
  <si>
    <t xml:space="preserve">           NB Travel Percentage:                                   1.695 %</t>
  </si>
  <si>
    <t xml:space="preserve">           Months Remaining until expiry:                9</t>
  </si>
  <si>
    <t xml:space="preserve">           GVW for Vehicle being replaced:             36,287 kg</t>
  </si>
  <si>
    <t xml:space="preserve">           9 month fee for 36,287 kg:                            $1800 (credit is allowed for current month) </t>
  </si>
  <si>
    <t xml:space="preserve">           Replacing vehicle GVW:                                 36,287 kg</t>
  </si>
  <si>
    <t xml:space="preserve">           9 month fee for 36,287 kg:                             $1800 (current month is charged)</t>
  </si>
  <si>
    <t xml:space="preserve">           Step 1 - Calculate credit for vehicle being deleted:</t>
  </si>
  <si>
    <t xml:space="preserve">                             credit = 9 month fee X 1.695 %</t>
  </si>
  <si>
    <t xml:space="preserve">                                          = $1800 X 0.01695 </t>
  </si>
  <si>
    <t xml:space="preserve">                                          = $ 30.51 credit</t>
  </si>
  <si>
    <t xml:space="preserve">                                        </t>
  </si>
  <si>
    <t xml:space="preserve">            Step 2 - Calculate charge for replacement vehicle:</t>
  </si>
  <si>
    <t xml:space="preserve">                            charge = 9 month fee X 1.695 %</t>
  </si>
  <si>
    <t xml:space="preserve">                                           = $1800 X 0.01695</t>
  </si>
  <si>
    <t xml:space="preserve">                                           =  $30.51 charge</t>
  </si>
  <si>
    <t xml:space="preserve">           Step 3 - Subtract the credit for vehicle #1 from the charge for vehicle #2 </t>
  </si>
  <si>
    <t xml:space="preserve">                              Total = $30.51 - $30.51</t>
  </si>
  <si>
    <t xml:space="preserve">                                         = $0.00 NB fee due</t>
  </si>
  <si>
    <t xml:space="preserve">           NB Travel Percentage:                     1.695 %</t>
  </si>
  <si>
    <t xml:space="preserve">           Months Remaining until expiry:  7</t>
  </si>
  <si>
    <t xml:space="preserve">           Gross Vehicle Weight:                     33,566 kg</t>
  </si>
  <si>
    <t xml:space="preserve">          7 month fee for 33,566 kg:              $1282</t>
  </si>
  <si>
    <t xml:space="preserve">           Calculate Fee       =  7 month fee X 1.695 %</t>
  </si>
  <si>
    <t xml:space="preserve">                                              = $1282 X 0.01695</t>
  </si>
  <si>
    <t xml:space="preserve">                                              =  $ 21.73 NB Fee Due</t>
  </si>
  <si>
    <t xml:space="preserve">                                              = $ 21.73 CDN x 0.7423 =  $16.13 US</t>
  </si>
  <si>
    <t>NB Travel Percentage:       1.695 %</t>
  </si>
  <si>
    <t>Months Remaining until expiry:      6</t>
  </si>
  <si>
    <t xml:space="preserve">Previous GVW:                                 33,566 KG </t>
  </si>
  <si>
    <t xml:space="preserve">6 month fee for 33,566 KG:          $1099         </t>
  </si>
  <si>
    <t>New GVW:                                          36,287 KG</t>
  </si>
  <si>
    <t>6 month fee for 36,287 KG:          $1199</t>
  </si>
  <si>
    <t>Step 1 - Calculate credit for previous GVW</t>
  </si>
  <si>
    <t xml:space="preserve">                                          Credit = 6 month fee X 1.695%</t>
  </si>
  <si>
    <t xml:space="preserve">                                                        =  $1099 X 1.695%</t>
  </si>
  <si>
    <t xml:space="preserve">                                                        = $ 18.63 credit</t>
  </si>
  <si>
    <t>Step 2 - Calculate charge for new GVW</t>
  </si>
  <si>
    <t xml:space="preserve">                                          Charge = 6 month fee X 1.695%</t>
  </si>
  <si>
    <t xml:space="preserve">                                                         = $1199 X 1.695%</t>
  </si>
  <si>
    <t xml:space="preserve">                                                         = $20.32 charge</t>
  </si>
  <si>
    <t>Step 3 - Subtract credit for previous GVW from the charge for the new  GWV</t>
  </si>
  <si>
    <t xml:space="preserve">                                           Total = $20.32 - 18.63</t>
  </si>
  <si>
    <t xml:space="preserve">                                                       = $1.69 NB fee due</t>
  </si>
  <si>
    <t xml:space="preserve">                                                       = $1.69 CDN X 0.7423 = $1.25 US</t>
  </si>
  <si>
    <t>New Brunswick does not have a separate fee schedule for buses.  Calculation is based on GVW.</t>
  </si>
  <si>
    <t xml:space="preserve">           Gross Vehicle Weight:                     17,237 kg</t>
  </si>
  <si>
    <t xml:space="preserve">          12 month fee for 17237 kg:             $1033</t>
  </si>
  <si>
    <t xml:space="preserve">           Calculate Fee       =  12 month fee X 1.695 %</t>
  </si>
  <si>
    <t xml:space="preserve">                                              = $1033 X 0.01695</t>
  </si>
  <si>
    <t xml:space="preserve">                                              =  $17.51 NB Fee Due</t>
  </si>
  <si>
    <t xml:space="preserve">                                              = $17.51 CDN x 0.7423 = $13.00 US</t>
  </si>
  <si>
    <t xml:space="preserve">Apportion %       </t>
  </si>
  <si>
    <t xml:space="preserve">Fee due:                </t>
  </si>
  <si>
    <t>DELETED VEHICLE CREDIT</t>
  </si>
  <si>
    <t>ADD VEHICLE CHARGE</t>
  </si>
  <si>
    <t>TOTAL DUE:</t>
  </si>
  <si>
    <t>WEIGHT INCREASE CREDIT</t>
  </si>
  <si>
    <t>WEIGHT INCREASE CHARGE</t>
  </si>
  <si>
    <t>Rhode Island Bus Calculation Rule:</t>
  </si>
  <si>
    <t>Flat fee of $66.00 plus $2.00 per passenger</t>
  </si>
  <si>
    <t>Flat Fee:</t>
  </si>
  <si>
    <t>Seat Fee ($2.00*35)</t>
  </si>
  <si>
    <t>Full Fee:</t>
  </si>
  <si>
    <t>36287 kgs</t>
  </si>
  <si>
    <t>Registration fee due</t>
  </si>
  <si>
    <t>rounds to $37.00</t>
  </si>
  <si>
    <t>PVT</t>
  </si>
  <si>
    <t>PVT factor:</t>
  </si>
  <si>
    <t>*</t>
  </si>
  <si>
    <t>PVT Due:</t>
  </si>
  <si>
    <t xml:space="preserve">Total Due: </t>
  </si>
  <si>
    <t xml:space="preserve">Sask calculates fees daily. </t>
  </si>
  <si>
    <t>unit 1 - delete</t>
  </si>
  <si>
    <t>37.36  rounds to 37.00 ( annual)</t>
  </si>
  <si>
    <t>daily prorate</t>
  </si>
  <si>
    <t>273 days remaining in term (.7479)</t>
  </si>
  <si>
    <r>
      <t>$28.00</t>
    </r>
    <r>
      <rPr>
        <sz val="11"/>
        <color rgb="FF000000"/>
        <rFont val="Calibri"/>
        <family val="2"/>
        <scheme val="minor"/>
      </rPr>
      <t xml:space="preserve"> credit for delete vehicle</t>
    </r>
  </si>
  <si>
    <t>no credit on PVT</t>
  </si>
  <si>
    <t>unit 2 - add</t>
  </si>
  <si>
    <r>
      <t>$28.00</t>
    </r>
    <r>
      <rPr>
        <sz val="11"/>
        <color rgb="FF000000"/>
        <rFont val="Calibri"/>
        <family val="2"/>
        <scheme val="minor"/>
      </rPr>
      <t xml:space="preserve"> due for add vehicle</t>
    </r>
  </si>
  <si>
    <t xml:space="preserve">pvt term factor </t>
  </si>
  <si>
    <t>PVT due</t>
  </si>
  <si>
    <t>Total due</t>
  </si>
  <si>
    <t>unit 1 reg</t>
  </si>
  <si>
    <t>credit</t>
  </si>
  <si>
    <t>unit 2 reg</t>
  </si>
  <si>
    <t>due</t>
  </si>
  <si>
    <t>unit 2 pvt</t>
  </si>
  <si>
    <t xml:space="preserve">net due </t>
  </si>
  <si>
    <t>Sask calculates fees daily.</t>
  </si>
  <si>
    <t>33566 kgs</t>
  </si>
  <si>
    <t xml:space="preserve">annual reg fee </t>
  </si>
  <si>
    <t xml:space="preserve">daily prorate </t>
  </si>
  <si>
    <t>212 days in term (.5808)</t>
  </si>
  <si>
    <t>registration fees due</t>
  </si>
  <si>
    <t>18.25 rounds to 18.00</t>
  </si>
  <si>
    <t>7 months = .5833</t>
  </si>
  <si>
    <t>original weight - 33566</t>
  </si>
  <si>
    <t>181 unused days</t>
  </si>
  <si>
    <t>apportioned percentage</t>
  </si>
  <si>
    <t>remaining term apportioned</t>
  </si>
  <si>
    <t>Rounded credit fee</t>
  </si>
  <si>
    <t>increased weight  36287</t>
  </si>
  <si>
    <t>weight fee</t>
  </si>
  <si>
    <t>181 unused days current term</t>
  </si>
  <si>
    <t>apportioned %</t>
  </si>
  <si>
    <t>18.53 rounded to $19.00</t>
  </si>
  <si>
    <t>total due</t>
  </si>
  <si>
    <t>17237 kgs</t>
  </si>
  <si>
    <t xml:space="preserve">(GVW) </t>
  </si>
  <si>
    <t>BUS</t>
  </si>
  <si>
    <t>$9.42 rounded to $9.00</t>
  </si>
  <si>
    <t xml:space="preserve">Sask caculates fee daily. </t>
  </si>
  <si>
    <t>GVW:</t>
  </si>
  <si>
    <t>80,000 lbs - Tractor Trailor</t>
  </si>
  <si>
    <t>Registration fee:   815.00</t>
  </si>
  <si>
    <t xml:space="preserve">              =815.00</t>
  </si>
  <si>
    <t>Apportion %           X 1.695%</t>
  </si>
  <si>
    <t>Fee Before Round (US $):     13.81425</t>
  </si>
  <si>
    <t>Final Fee After Round (US $) due:       $13.81</t>
  </si>
  <si>
    <t>Old fee</t>
  </si>
  <si>
    <t>Registration fee:   611.25</t>
  </si>
  <si>
    <t xml:space="preserve">              =611.25</t>
  </si>
  <si>
    <t>Fee Before Round (US $):     10.3606875</t>
  </si>
  <si>
    <t>Fee Before Round (US $):     10.3606878</t>
  </si>
  <si>
    <t>New Fee After Round (US $) due:       $10.36</t>
  </si>
  <si>
    <t>Old Fee After Round (US $) due:       $10.36</t>
  </si>
  <si>
    <t>New fee-Old fee = 10.36 - 10.36 = 0.00</t>
  </si>
  <si>
    <t>74,000 lbs - Tractor Trailor</t>
  </si>
  <si>
    <t>Registration fee:   475.42</t>
  </si>
  <si>
    <t xml:space="preserve">              =475.42</t>
  </si>
  <si>
    <t>Fee Before Round (US $):     8.058369</t>
  </si>
  <si>
    <t>Final Fee After Round (US $) due:       $8.06</t>
  </si>
  <si>
    <t>Registration fee:   407.50</t>
  </si>
  <si>
    <t xml:space="preserve">              =407.50</t>
  </si>
  <si>
    <t>Fee Before Round (US $):     6.907125</t>
  </si>
  <si>
    <t>Fee Before Round (US $):     6.9071252137</t>
  </si>
  <si>
    <t>New Fee After Round (US $) due:       $6.91</t>
  </si>
  <si>
    <t>Old Fee After Round (US $) due:       $6.91</t>
  </si>
  <si>
    <t>New fee-Old fee = 6.91 - 6.91 = 0.00</t>
  </si>
  <si>
    <t>38,000 lbs - Tractor Trailor</t>
  </si>
  <si>
    <t>Registration fee:   160.00</t>
  </si>
  <si>
    <t xml:space="preserve">              =160.00</t>
  </si>
  <si>
    <t>Fee Before Round (US $):     2.712</t>
  </si>
  <si>
    <t>Final Fee After Round (US $) due:       $2.71</t>
  </si>
  <si>
    <t>Fee due:                20.73</t>
  </si>
  <si>
    <t>80,000 lb tractor</t>
  </si>
  <si>
    <t>Apportion % x 1.695</t>
  </si>
  <si>
    <t>Fee 15.55 with credit of 15.55  NO CHARGE</t>
  </si>
  <si>
    <t>74,000 lb tractor</t>
  </si>
  <si>
    <t>Fee 11.17</t>
  </si>
  <si>
    <t>Registration fee 6 months = 565.00</t>
  </si>
  <si>
    <t>Apportion % x 1.695 = 9.58</t>
  </si>
  <si>
    <t>Registration fee 6 months = 611.50</t>
  </si>
  <si>
    <t>Apportion % x 1.695 = 10.36</t>
  </si>
  <si>
    <t>Fee 10.36 - 9.58 due 0.78</t>
  </si>
  <si>
    <t>Bus 38,000 lbs - 35 passenger</t>
  </si>
  <si>
    <t>Registration fee = 70.00</t>
  </si>
  <si>
    <t>Fee 1.19</t>
  </si>
  <si>
    <t>Schedule 1 Fee:</t>
  </si>
  <si>
    <t>Schedule 2 Fee:</t>
  </si>
  <si>
    <t>Weight</t>
  </si>
  <si>
    <t>Diesel Fee tab</t>
  </si>
  <si>
    <t>1979 And Newer Model chart</t>
  </si>
  <si>
    <t>License Weight - 80,000 lbs = $3957.00</t>
  </si>
  <si>
    <t>License Period = 12 months</t>
  </si>
  <si>
    <t>Apportion % = .01695</t>
  </si>
  <si>
    <t>Diesel Fee $3957 X .01695=$67.07</t>
  </si>
  <si>
    <t>Diesel Fee $3957 X .01695=67.07</t>
  </si>
  <si>
    <t>Fees Due: $67.07</t>
  </si>
  <si>
    <t>License Weight - 80,000 lbs = $2972.25</t>
  </si>
  <si>
    <t>License Period = 9 months</t>
  </si>
  <si>
    <t>Diesel Fee $2972.25 X .01695 = 50.37</t>
  </si>
  <si>
    <t>Delete Unit: $2972.25</t>
  </si>
  <si>
    <t>Add Unit: 2972.25</t>
  </si>
  <si>
    <t>2972.25 X .01695 = 50.37</t>
  </si>
  <si>
    <t>Fees Due: $0.00</t>
  </si>
  <si>
    <t>1979 and Newer Model chart</t>
  </si>
  <si>
    <t>License Weight - 74,000 lbs = $2067.25</t>
  </si>
  <si>
    <t>License Period = 7 months</t>
  </si>
  <si>
    <t>Diesel Fee $2067.25 X .01695 = 35.04</t>
  </si>
  <si>
    <t>Fees Due $35.04</t>
  </si>
  <si>
    <t>License Weight - 80,000 lbs =$1987.50</t>
  </si>
  <si>
    <t>License Period = 6 months</t>
  </si>
  <si>
    <t>Diesel Fee $1987.50 X .01695 = 33.69</t>
  </si>
  <si>
    <t>74,000 lbs (credit) 6 months:</t>
  </si>
  <si>
    <t>80,000 lbs (increase) 6 months:</t>
  </si>
  <si>
    <t>Diesel Fee 1774.50 X .01695 = 30.08</t>
  </si>
  <si>
    <t>Diesel Fee 1987.50 X .01695 = 33.69</t>
  </si>
  <si>
    <t>Fees Due $3.61</t>
  </si>
  <si>
    <t>Bus fees are charged according to Gross Weight declared.</t>
  </si>
  <si>
    <t>License Weight - $1327.00</t>
  </si>
  <si>
    <t>Diesel Fee $1327.00 X .01695 = 22.49</t>
  </si>
  <si>
    <t>Fees Due: $22.49</t>
  </si>
  <si>
    <t>Gross Vehicle Weight from Alberta Fee Schedule.</t>
  </si>
  <si>
    <t>(GVW = 36287 KGS / 80000 lbs)</t>
  </si>
  <si>
    <t>Apportion % X</t>
  </si>
  <si>
    <t>CAD</t>
  </si>
  <si>
    <t>Round to nearest dollar</t>
  </si>
  <si>
    <t>US jurisdictions apply exchange rate to rounded CAD amount</t>
  </si>
  <si>
    <t>CAD Fee Due:</t>
  </si>
  <si>
    <t>CAD Fee</t>
  </si>
  <si>
    <t>USD Fee Due:</t>
  </si>
  <si>
    <t>Calculate the AV and DV for the months remaining. Credit is given from the old unit.</t>
  </si>
  <si>
    <t xml:space="preserve">*Below (from annual test) is for a vehicle at the same weight. </t>
  </si>
  <si>
    <t>*A charge would apply if the Add Vehicle has a heavier GVW.</t>
  </si>
  <si>
    <t>*A credit could apply if the Add Vehicle has a lighter GVW.</t>
  </si>
  <si>
    <t>AV Registration fee:</t>
  </si>
  <si>
    <t>(GVW = 36287 KGS / 80000 lbs)  (9 months)</t>
  </si>
  <si>
    <t>Charge CAD:</t>
  </si>
  <si>
    <t>DV Registration fee:</t>
  </si>
  <si>
    <t>(GVW = 36287 KGS / 80000 lbs) (9 months)</t>
  </si>
  <si>
    <t>Credit CAD:</t>
  </si>
  <si>
    <t>CAD Fees due:</t>
  </si>
  <si>
    <t>(GVW = 33566 KGS / 74000 lbs)</t>
  </si>
  <si>
    <t>Calculate the AV and DV for the time remaining. Credit is given from the old unit.</t>
  </si>
  <si>
    <t>New GVW fee</t>
  </si>
  <si>
    <t>Charge</t>
  </si>
  <si>
    <t>Old GVW Credit</t>
  </si>
  <si>
    <t>Per Alberta's Fee Schedule the fee for all buses/gvw is 100.00 for 12 months. Please review to AB's fee schedule for less than 12 months.</t>
  </si>
  <si>
    <t xml:space="preserve">80,000 lb Truck Tractor </t>
  </si>
  <si>
    <t>Total fee =</t>
  </si>
  <si>
    <t>Added</t>
  </si>
  <si>
    <t>Deleted</t>
  </si>
  <si>
    <t xml:space="preserve">Fee due:                  </t>
  </si>
  <si>
    <t xml:space="preserve">74,000 lb Truck Tractor </t>
  </si>
  <si>
    <t xml:space="preserve">80,000:                  </t>
  </si>
  <si>
    <t xml:space="preserve">74,000:             </t>
  </si>
  <si>
    <t>Passenger vehicles are calculated based on the empty/unladen weight.</t>
  </si>
  <si>
    <t>25,995 lb bus</t>
  </si>
  <si>
    <t xml:space="preserve">Total fee = </t>
  </si>
  <si>
    <t>36,287 kgs (80,000 lbs) Tractor</t>
  </si>
  <si>
    <t>33,566 kgs (74,000 lbs) Tractor</t>
  </si>
  <si>
    <t>17,237 kgs (38,000 lbs) Bus</t>
  </si>
  <si>
    <t>80,000 LB TRACTOR REGISTRATION FEE</t>
  </si>
  <si>
    <t>APPORTION FEE %</t>
  </si>
  <si>
    <t xml:space="preserve">FEE DUE </t>
  </si>
  <si>
    <t>74,000 LB TRACTOR REGISTRATION FEE</t>
  </si>
  <si>
    <t>FEE DUE</t>
  </si>
  <si>
    <r>
      <rPr>
        <b/>
        <sz val="11"/>
        <color theme="1"/>
        <rFont val="Calibri"/>
        <family val="2"/>
        <scheme val="minor"/>
      </rPr>
      <t xml:space="preserve">This document must be completed and returned to IRP, Inc. with your 2020 fee test results. </t>
    </r>
    <r>
      <rPr>
        <sz val="11"/>
        <color theme="1"/>
        <rFont val="Calibri"/>
        <family val="2"/>
        <scheme val="minor"/>
      </rPr>
      <t xml:space="preserve">The purpose of this document is to collect basic guidelines, business rules and examples necessary to accurately calculate your jurisdictions' fee(s). Publication of this document on the IRP, Inc. website will assist other jurisdictions in verifying the accuracy of their calculations for your jurisdiction. </t>
    </r>
  </si>
  <si>
    <t>Registration base fee: $968 X1.69500% = $16.41</t>
  </si>
  <si>
    <t>DHBTF fee : $240 X 1.69500% = $4.07</t>
  </si>
  <si>
    <t>Registration fee + DHBTF fee = fees due.</t>
  </si>
  <si>
    <t>$16.41 + $4.07 = $20.48 fees due.</t>
  </si>
  <si>
    <t>New Vehicle</t>
  </si>
  <si>
    <t xml:space="preserve">Registration fee for 9 months: $726 X 1.69500% = $12.31 </t>
  </si>
  <si>
    <t>DHBTF fee for 9 months: $180 X 1.69500% = $3.05</t>
  </si>
  <si>
    <t>$12.31 +$3.05 = $15.36 fee for new vehicle.</t>
  </si>
  <si>
    <t xml:space="preserve">Old Vehicle </t>
  </si>
  <si>
    <t>$12.31+$3.05 = $15.36 credit for vehicle being replaced</t>
  </si>
  <si>
    <t xml:space="preserve">Fee for new vehicle minus credit from vehicle being deleted  =  Total fees due </t>
  </si>
  <si>
    <t xml:space="preserve"> $15.36 - $15.36 =  $0.00 fees due</t>
  </si>
  <si>
    <t>Registration fee for 7 months $522.25 X 1.69500% = $8.85</t>
  </si>
  <si>
    <t>DHBTF for 7 months $129.50 X 1.69500% = $2.20</t>
  </si>
  <si>
    <t>Registration fee +DHBTF fee = Total fee due</t>
  </si>
  <si>
    <t>$8.85+$2.20 = $11.05 fees due</t>
  </si>
  <si>
    <t xml:space="preserve">Registration fee (new weight)  6 months $484 X 1.69500% = $8.20 </t>
  </si>
  <si>
    <t>DHBTF fee (for new weight) 6 months $120 X 1.69500% = $2.03</t>
  </si>
  <si>
    <t>Registration fee + DHBTF fee = Total fee due $10.23</t>
  </si>
  <si>
    <t>Minus Credit at previous weight</t>
  </si>
  <si>
    <t>Registration fee credit at previous weight  $447.75 X 1.69500% = $7.59</t>
  </si>
  <si>
    <t>DHBTF fee credit at previous weight $111 X 1.69500% = $1.88</t>
  </si>
  <si>
    <t xml:space="preserve">$7.59 + $1.88 = $9.47 credit </t>
  </si>
  <si>
    <t>$10.23 - $9.47 = $.77 due</t>
  </si>
  <si>
    <t>Registration base fee (number of passengers, excluding driver) X percentage rate</t>
  </si>
  <si>
    <t xml:space="preserve"> + DHBTF fee X percentage rate = total registration fee due</t>
  </si>
  <si>
    <t>Fee Due: $0.00</t>
  </si>
  <si>
    <t>Schedule #2 fee $90.00 X 1.695% = $1.5255</t>
  </si>
  <si>
    <t>minus</t>
  </si>
  <si>
    <r>
      <t xml:space="preserve">IRP Fee Guidelines and Rules for </t>
    </r>
    <r>
      <rPr>
        <b/>
        <u/>
        <sz val="16"/>
        <rFont val="Aptos Display"/>
        <family val="2"/>
      </rPr>
      <t>ALABAMA</t>
    </r>
  </si>
  <si>
    <r>
      <rPr>
        <b/>
        <sz val="11"/>
        <color theme="1"/>
        <rFont val="Aptos"/>
        <family val="2"/>
      </rPr>
      <t xml:space="preserve">This document must be completed and returned to IRP, Inc. with your 2026 fee test results. </t>
    </r>
    <r>
      <rPr>
        <sz val="11"/>
        <color theme="1"/>
        <rFont val="Aptos"/>
        <family val="2"/>
      </rPr>
      <t xml:space="preserve">The purpose of this document is to collect basic guidelines, business rules and examples necessary to accurately calculate your jurisdictions' fee(s). Publication of this document on the IRP, Inc. website will assist other jurisdictions in verifying the accuracy of their calculations for your jurisdiction. </t>
    </r>
  </si>
  <si>
    <t>IRP Fee Guidelines and Rules for Alberta</t>
  </si>
  <si>
    <r>
      <rPr>
        <b/>
        <sz val="11"/>
        <color theme="1"/>
        <rFont val="Calibri"/>
        <family val="2"/>
        <scheme val="minor"/>
      </rPr>
      <t xml:space="preserve">This document must be completed and returned to IRP, Inc. with your 2026 fee test results. </t>
    </r>
    <r>
      <rPr>
        <sz val="11"/>
        <color theme="1"/>
        <rFont val="Calibri"/>
        <family val="2"/>
        <scheme val="minor"/>
      </rPr>
      <t xml:space="preserve">The purpose of this document is to collect basic guidelines, business rules and examples necessary to accurately calculate your jurisdictions' fee(s). Publication of this document on the IRP, Inc. website will assist other jurisdictions in verifying the accuracy of their calculations for your jurisdiction. </t>
    </r>
  </si>
  <si>
    <r>
      <rPr>
        <b/>
        <sz val="16"/>
        <color theme="1"/>
        <rFont val="Times New Roman"/>
      </rPr>
      <t>IRP Fee Guidelines and Rules for</t>
    </r>
    <r>
      <rPr>
        <b/>
        <u/>
        <sz val="16"/>
        <color theme="1"/>
        <rFont val="Times New Roman"/>
      </rPr>
      <t xml:space="preserve"> ARIZONA (AZ)</t>
    </r>
  </si>
  <si>
    <t xml:space="preserve">Fees Due: </t>
  </si>
  <si>
    <r>
      <rPr>
        <b/>
        <sz val="11"/>
        <color theme="1"/>
        <rFont val="Calibri"/>
      </rPr>
      <t xml:space="preserve">This document must be completed and returned to IRP, Inc. with your 2026 fee test results. </t>
    </r>
    <r>
      <rPr>
        <sz val="11"/>
        <color theme="1"/>
        <rFont val="Calibri"/>
      </rPr>
      <t xml:space="preserve">The purpose of this document is to collect basic guidelines, business rules and examples necessary to accurately calculate your jurisdictions' fee(s). Publication of this document on the IRP, Inc. website will assist other jurisdictions in verifying the accuracy of their calculations for your jurisdiction. </t>
    </r>
  </si>
  <si>
    <t>Taxable Value - $187,966 CDN</t>
  </si>
  <si>
    <t>Canadian Fee Due - $104.95</t>
  </si>
  <si>
    <t>US Exchange Rate - .7235</t>
  </si>
  <si>
    <t>US Fee Due - $25.00</t>
  </si>
  <si>
    <t>TOTAL Canadian Fee Due - $139.51  ($34.56 + $104.95)</t>
  </si>
  <si>
    <t>TOTAL US Fee Due - $100.93  ($25.00 + $75.93)</t>
  </si>
  <si>
    <t>Taxable Value - $276,033 CDN</t>
  </si>
  <si>
    <t>Canadian Fee Due - $115.59</t>
  </si>
  <si>
    <t>US Fee Due - $18.75</t>
  </si>
  <si>
    <t>Total US Fee Due - $83.63 ($83.63 + $18.75 - $18.75)</t>
  </si>
  <si>
    <t>Taxable Value - $262,599 CDN</t>
  </si>
  <si>
    <t>Canadian Fee Due - $85.53</t>
  </si>
  <si>
    <t>US Fee Due - $12.65</t>
  </si>
  <si>
    <t>Total Canadian Fee Due - 103.02 ($17.49 + $85.53)</t>
  </si>
  <si>
    <t>Total US Fee Due - $74.53 ($12.65 + $61.88)</t>
  </si>
  <si>
    <t>US Fee Due - $12.50</t>
  </si>
  <si>
    <t>US  Exchange Rate - .7235</t>
  </si>
  <si>
    <t>US Fee Due - $10.85</t>
  </si>
  <si>
    <r>
      <t xml:space="preserve">Total Canadian Fee Due - 2.29 </t>
    </r>
    <r>
      <rPr>
        <sz val="11"/>
        <color theme="1"/>
        <rFont val="Calibri"/>
        <family val="2"/>
        <scheme val="minor"/>
      </rPr>
      <t>($17.28 - $14.99 ) 80,000 lbs / 36,2687 kgs fees - 74,000 lbs / 33,566 kgs fees</t>
    </r>
  </si>
  <si>
    <r>
      <t xml:space="preserve">Total US Fee Due - $1.65 </t>
    </r>
    <r>
      <rPr>
        <sz val="11"/>
        <color theme="1"/>
        <rFont val="Calibri"/>
        <family val="2"/>
        <scheme val="minor"/>
      </rPr>
      <t>($12.50 - $10.85) 80,000 lbs / 36,2687 kgs fees - 74,000 lbs / 33,566 kgs fees</t>
    </r>
  </si>
  <si>
    <t>Taxable Value - $496,174 CDN</t>
  </si>
  <si>
    <t>Canadian Fee Due - $227.75</t>
  </si>
  <si>
    <t>US Fee Due - $9.42</t>
  </si>
  <si>
    <t>Total Canadian Fee Due - $240.77 ($13.02 + $227.75)</t>
  </si>
  <si>
    <t>Total US Fee Due - $174.20  ($9.42 + $164.78)</t>
  </si>
  <si>
    <t>IRP Fee Guidelines and Rules for California</t>
  </si>
  <si>
    <t>Effective Date = 01/01/2026</t>
  </si>
  <si>
    <t>Purchase date = 01/01/2026</t>
  </si>
  <si>
    <t>Effective Date = 04/01/2026</t>
  </si>
  <si>
    <t>Purchase date = 04/01/2026</t>
  </si>
  <si>
    <t>Effective Date = 06/01/2026</t>
  </si>
  <si>
    <t>Purchase date = 06/1/2026</t>
  </si>
  <si>
    <t>Effective Date = 07/01/2026</t>
  </si>
  <si>
    <t>Purchase Date = 01/01/2026</t>
  </si>
  <si>
    <t>IRP Fee Guidelines and Rules for : COLORADO</t>
  </si>
  <si>
    <t xml:space="preserve">Note: used vehicle in CO = MSRP </t>
  </si>
  <si>
    <t xml:space="preserve">80,000  lb tractor </t>
  </si>
  <si>
    <t xml:space="preserve">CO age Fee - Heavy </t>
  </si>
  <si>
    <t xml:space="preserve">10.00 x 0.165% = 0.17 (round to the nearest cent) </t>
  </si>
  <si>
    <t>CO Bridge Safety Surcharge</t>
  </si>
  <si>
    <t>32.00 x 1.695% = 0.54</t>
  </si>
  <si>
    <t>CO Ownership Fee - Heavy</t>
  </si>
  <si>
    <t>141000.00 (USED=MSRP) x 0.45%(OT%, 5th year)  x 1.695%  = 10.75</t>
  </si>
  <si>
    <t>CO Reg Fee - private</t>
  </si>
  <si>
    <t>1975.00 x 1.695% = 33.48</t>
  </si>
  <si>
    <t xml:space="preserve">CO Road Safety Surcharge </t>
  </si>
  <si>
    <t>39.00 x 1.695% = 0.66</t>
  </si>
  <si>
    <t>CO Reg Fee - for hire</t>
  </si>
  <si>
    <t>2350.00 x 1.695% = 39.83</t>
  </si>
  <si>
    <t xml:space="preserve">note: credit is only given for full months where the vehicle registration was not active. </t>
  </si>
  <si>
    <t>Delet credits from fee test 2 (9mo)</t>
  </si>
  <si>
    <t xml:space="preserve">add vehicle </t>
  </si>
  <si>
    <t xml:space="preserve">New vehicle in CO =  PP </t>
  </si>
  <si>
    <t xml:space="preserve">74,000  lb tractor </t>
  </si>
  <si>
    <t xml:space="preserve">10.00 / 12mo x 7mo /  0.165% = 0.10 (round to the nearse cent) </t>
  </si>
  <si>
    <t>190000.00 (NEW=purchase Price) x 2.10% (OT%, 5th year) /12 x 7  x 1.695%  = 39.45</t>
  </si>
  <si>
    <t xml:space="preserve">2260.00 / 12 x 7 x  1.695% = 22.35 (round to the nearest cent) </t>
  </si>
  <si>
    <t xml:space="preserve">note: only registration fees are affected by weight change on a heavy vehicle. All other fees will offset and net zero. Light vehicles may require additional calculations. </t>
  </si>
  <si>
    <t>6mo @ 74000</t>
  </si>
  <si>
    <t>1130.00 x 1.695% = 19.15</t>
  </si>
  <si>
    <t>6mo @ 80000</t>
  </si>
  <si>
    <t xml:space="preserve">1175.00 x 1.695% = 19.92 (round to the nearest cent) </t>
  </si>
  <si>
    <r>
      <t xml:space="preserve">19.92 -19.50 = </t>
    </r>
    <r>
      <rPr>
        <b/>
        <i/>
        <sz val="11"/>
        <color rgb="FFFF0000"/>
        <rFont val="Aptos"/>
        <family val="2"/>
      </rPr>
      <t>0.77 owed</t>
    </r>
  </si>
  <si>
    <t xml:space="preserve">CO License fee </t>
  </si>
  <si>
    <t>25.00 x 1.695% = 0.42</t>
  </si>
  <si>
    <t xml:space="preserve">10.00 x 1.695% = 00.17 (round to the nearest cent) </t>
  </si>
  <si>
    <t>CO Bridge Safety Surcharge - bus</t>
  </si>
  <si>
    <t>29.00 x 1.695% = 0.49</t>
  </si>
  <si>
    <t>CO bus fee - 14 or less seats</t>
  </si>
  <si>
    <t>1.70 x 14 x 1.695% = 0.41</t>
  </si>
  <si>
    <t xml:space="preserve">Co bus fee - 15 or more seats </t>
  </si>
  <si>
    <t>1.25 x 21 x 1.695% = 0.44</t>
  </si>
  <si>
    <t xml:space="preserve">379000.00 (used = MSRP) x 1.20% (OT%, 3rd year)  x 1.695%  = 77.09 (round to the nearest cent) </t>
  </si>
  <si>
    <t>37.20 x 1.695% = 0.63</t>
  </si>
  <si>
    <t>IRP Fee Guidelines and Rules for Connecticut___________________</t>
  </si>
  <si>
    <t>IRP Fee Guidelines and Rules for DELAWARE</t>
  </si>
  <si>
    <t>IRP Fee Guidelines and Rules for District of Columbia</t>
  </si>
  <si>
    <t xml:space="preserve">Florida Calculation Examples </t>
  </si>
  <si>
    <t>Tractor/Truck</t>
  </si>
  <si>
    <t>Example 1:</t>
  </si>
  <si>
    <t>Gross Weight – 80,000 lbs. = $1,322.00</t>
  </si>
  <si>
    <t>Florida Percentage = 1.695%</t>
  </si>
  <si>
    <t>$1,322.00 X  %  = $22.41</t>
  </si>
  <si>
    <t>Example 2:</t>
  </si>
  <si>
    <t>Gross Weight – 80,000 lbs. - $1,322.00</t>
  </si>
  <si>
    <t>$1,322.00 ÷ 12 X 6 = $661.00 X  % =  $11.20</t>
  </si>
  <si>
    <t>Bus - Less than 9 Passengers</t>
  </si>
  <si>
    <t>Example 3:</t>
  </si>
  <si>
    <t>8 Seat Passenger Bus</t>
  </si>
  <si>
    <t>License Period = 12 Month</t>
  </si>
  <si>
    <t>26,000 lb. Unladen Weight / 100 = 260 X $1.50 = $390.00</t>
  </si>
  <si>
    <t>Bus Fee $17.00</t>
  </si>
  <si>
    <t>$407.00 X % = $6.90</t>
  </si>
  <si>
    <t>Bus - 9 Passengers or More</t>
  </si>
  <si>
    <t>Example 4:</t>
  </si>
  <si>
    <t>35 Seat Passenger Bus</t>
  </si>
  <si>
    <t>License Period = 9 Month</t>
  </si>
  <si>
    <t>26,000 lb. Unladen Weight / 100 = 260 X $2.00 = $520.00</t>
  </si>
  <si>
    <t>$537.00 X 0.75000 = $402.75 X  % =  $6.83</t>
  </si>
  <si>
    <t>IRP Fee Guidelines and Rules for Georgia___________________</t>
  </si>
  <si>
    <r>
      <t xml:space="preserve">Registration fee: 875.00     (3.75 (fee)  x 26000 lbs (empty weight)/100 = 975.00; </t>
    </r>
    <r>
      <rPr>
        <b/>
        <i/>
        <sz val="11"/>
        <color rgb="FF000000"/>
        <rFont val="Calibri"/>
        <family val="2"/>
        <scheme val="minor"/>
      </rPr>
      <t>Fee cap is 875.00</t>
    </r>
    <r>
      <rPr>
        <i/>
        <sz val="11"/>
        <color rgb="FF000000"/>
        <rFont val="Calibri"/>
        <family val="2"/>
        <scheme val="minor"/>
      </rPr>
      <t xml:space="preserve">)  </t>
    </r>
  </si>
  <si>
    <t xml:space="preserve">AAVT fee: 125.00 </t>
  </si>
  <si>
    <r>
      <t>IRP Fee Guidelines and Rules for ____</t>
    </r>
    <r>
      <rPr>
        <b/>
        <u/>
        <sz val="16"/>
        <rFont val="Aptos Display"/>
        <family val="2"/>
      </rPr>
      <t>____</t>
    </r>
    <r>
      <rPr>
        <b/>
        <i/>
        <u/>
        <sz val="16"/>
        <rFont val="Aptos Display"/>
        <family val="2"/>
      </rPr>
      <t>IDAHO________</t>
    </r>
  </si>
  <si>
    <t>Unit 1 Reg Fee I Credit:</t>
  </si>
  <si>
    <t>Unit 2 Reg Fee I:</t>
  </si>
  <si>
    <t>Reg I Credit:</t>
  </si>
  <si>
    <t>Unit 1 Reg Fee II Credit:</t>
  </si>
  <si>
    <t>Unit 2 Reg Fee II:</t>
  </si>
  <si>
    <t>Reg Fee II Credit:</t>
  </si>
  <si>
    <t>Total Credit:</t>
  </si>
  <si>
    <t>Less Credit:</t>
  </si>
  <si>
    <r>
      <t>Reg</t>
    </r>
    <r>
      <rPr>
        <b/>
        <sz val="11"/>
        <color rgb="FF000000"/>
        <rFont val="Aptos"/>
        <family val="2"/>
      </rPr>
      <t xml:space="preserve"> Fee I:</t>
    </r>
  </si>
  <si>
    <t>Reg Fee I Credit @ 74,000:</t>
  </si>
  <si>
    <t>Reg Fee I Fee @ 80,000:</t>
  </si>
  <si>
    <t>Reg Fee I Credit:</t>
  </si>
  <si>
    <t>NOTE:  The Reg II fee is not applicable for weight changes as it is NOT a weight-related fee.</t>
  </si>
  <si>
    <t>NOTE:  Buses are registered no differently than other power units.  Gross weight is declared by the applicant and</t>
  </si>
  <si>
    <t>application fees are assessed.  We do capture the number of seats and used "BS" for the vehicle type.</t>
  </si>
  <si>
    <t>IRP Fee Guidelines and Rules for Indiana</t>
  </si>
  <si>
    <t>IRP Fee Guidelines and Rules for Iowa</t>
  </si>
  <si>
    <r>
      <t>IRP Fee Guidelines and Rules for __</t>
    </r>
    <r>
      <rPr>
        <b/>
        <u/>
        <sz val="16"/>
        <rFont val="Aptos Display"/>
        <family val="2"/>
      </rPr>
      <t>_Kansas__</t>
    </r>
    <r>
      <rPr>
        <b/>
        <sz val="16"/>
        <rFont val="Aptos Display"/>
        <family val="2"/>
      </rPr>
      <t>___________</t>
    </r>
  </si>
  <si>
    <t>09/01/2024</t>
  </si>
  <si>
    <t>08/01/2021</t>
  </si>
  <si>
    <t>80000</t>
  </si>
  <si>
    <t>KSCFAA0AA02026018000012True</t>
  </si>
  <si>
    <t>1870</t>
  </si>
  <si>
    <t>1.695</t>
  </si>
  <si>
    <t>31.6965</t>
  </si>
  <si>
    <t>KSCVAA0AA02026018000012True</t>
  </si>
  <si>
    <t>400</t>
  </si>
  <si>
    <t>6.78</t>
  </si>
  <si>
    <t>31.7</t>
  </si>
  <si>
    <t>03/01/2026</t>
  </si>
  <si>
    <t>KSCFAA0AA0202604800009True</t>
  </si>
  <si>
    <t>1402.5</t>
  </si>
  <si>
    <t>23.772375</t>
  </si>
  <si>
    <t>KSCVAA0AA0202604800009True</t>
  </si>
  <si>
    <t>300</t>
  </si>
  <si>
    <t>5.085</t>
  </si>
  <si>
    <t>KSCVAA0AA0202601800009True</t>
  </si>
  <si>
    <t>23.77</t>
  </si>
  <si>
    <t>1.69500005245209</t>
  </si>
  <si>
    <t>KSCFAA0AA0202601800009True</t>
  </si>
  <si>
    <t>0</t>
  </si>
  <si>
    <t>74000</t>
  </si>
  <si>
    <t>KSCFAA0AA0202606740007True</t>
  </si>
  <si>
    <t>974.17</t>
  </si>
  <si>
    <t>16.5121815</t>
  </si>
  <si>
    <t>KSCVAA0AA0202606740007True</t>
  </si>
  <si>
    <t>233.33</t>
  </si>
  <si>
    <t>3.9549435</t>
  </si>
  <si>
    <t>16.51</t>
  </si>
  <si>
    <t>KSCFAA0AA0202607800006True</t>
  </si>
  <si>
    <t>935</t>
  </si>
  <si>
    <t>15.84825</t>
  </si>
  <si>
    <t>KSCVAA0AA0202607800006True</t>
  </si>
  <si>
    <t>200</t>
  </si>
  <si>
    <t>3.39</t>
  </si>
  <si>
    <t>KSCVAA0AA0202606740006True</t>
  </si>
  <si>
    <t>15.85</t>
  </si>
  <si>
    <t>KSCFAA0AA0202606740006True</t>
  </si>
  <si>
    <t>835</t>
  </si>
  <si>
    <t>14.15325</t>
  </si>
  <si>
    <t>14.15</t>
  </si>
  <si>
    <t>38000</t>
  </si>
  <si>
    <t>KSCFAA0AA02026013800012True</t>
  </si>
  <si>
    <t>575</t>
  </si>
  <si>
    <t>9.74625</t>
  </si>
  <si>
    <t>KSCVAA0AA02026013800012True</t>
  </si>
  <si>
    <t>350</t>
  </si>
  <si>
    <t>5.9325</t>
  </si>
  <si>
    <t>9.75</t>
  </si>
  <si>
    <t>IRP Fee Guidelines and Rules for Kentucky ______________</t>
  </si>
  <si>
    <r>
      <rPr>
        <b/>
        <sz val="11"/>
        <color theme="1"/>
        <rFont val="Calibri"/>
        <family val="2"/>
        <scheme val="minor"/>
      </rPr>
      <t xml:space="preserve">This document must be completed and returned to IRP, Inc. with your 2026 fee test results. </t>
    </r>
    <r>
      <rPr>
        <sz val="10"/>
        <rFont val="Arial"/>
        <family val="2"/>
      </rPr>
      <t xml:space="preserve">The purpose of this document is to collect basic guidelines, business rules and examples necessary to accurately calculate your jurisdictions' fee(s). Publication of this document on the IRP, Inc. website will assist other jurisdictions in verifying the accuracy of their calculations for your jurisdiction. </t>
    </r>
  </si>
  <si>
    <t>To Calculate Kentucky Ad Valorem Fee:</t>
  </si>
  <si>
    <r>
      <t xml:space="preserve">To Calculate the ad valorem fee mulitply </t>
    </r>
    <r>
      <rPr>
        <u/>
        <sz val="10"/>
        <rFont val="Arial"/>
        <family val="2"/>
      </rPr>
      <t xml:space="preserve">purchase price </t>
    </r>
    <r>
      <rPr>
        <sz val="10"/>
        <rFont val="Arial"/>
        <family val="2"/>
      </rPr>
      <t xml:space="preserve">X </t>
    </r>
    <r>
      <rPr>
        <u/>
        <sz val="10"/>
        <rFont val="Arial"/>
        <family val="2"/>
      </rPr>
      <t>year factor rate</t>
    </r>
    <r>
      <rPr>
        <sz val="10"/>
        <rFont val="Arial"/>
        <family val="2"/>
      </rPr>
      <t xml:space="preserve"> to get the</t>
    </r>
    <r>
      <rPr>
        <u/>
        <sz val="10"/>
        <rFont val="Arial"/>
        <family val="2"/>
      </rPr>
      <t xml:space="preserve"> ad val amount</t>
    </r>
    <r>
      <rPr>
        <sz val="10"/>
        <rFont val="Arial"/>
        <family val="2"/>
      </rPr>
      <t xml:space="preserve">. </t>
    </r>
  </si>
  <si>
    <r>
      <t xml:space="preserve">Take the </t>
    </r>
    <r>
      <rPr>
        <u/>
        <sz val="10"/>
        <rFont val="Arial"/>
        <family val="2"/>
      </rPr>
      <t>ad val amount</t>
    </r>
    <r>
      <rPr>
        <sz val="10"/>
        <rFont val="Arial"/>
        <family val="2"/>
      </rPr>
      <t xml:space="preserve"> multiply it by the</t>
    </r>
    <r>
      <rPr>
        <u/>
        <sz val="10"/>
        <rFont val="Arial"/>
        <family val="2"/>
      </rPr>
      <t xml:space="preserve"> apportion percentage</t>
    </r>
    <r>
      <rPr>
        <sz val="10"/>
        <rFont val="Arial"/>
        <family val="2"/>
      </rPr>
      <t xml:space="preserve"> (KY mileage) for total </t>
    </r>
    <r>
      <rPr>
        <u/>
        <sz val="10"/>
        <rFont val="Arial"/>
        <family val="2"/>
      </rPr>
      <t>ad val fee due</t>
    </r>
    <r>
      <rPr>
        <sz val="10"/>
        <rFont val="Arial"/>
        <family val="2"/>
      </rPr>
      <t xml:space="preserve">. </t>
    </r>
  </si>
  <si>
    <t>To determine the Year factor subtract Year(effective date) – year(purchase date) + 1 = 2024 – 2020 + 1 = 4 + 1 = 5</t>
  </si>
  <si>
    <t xml:space="preserve">Example: Effective year 2026 subtracted (-) from the purchase year 2025 = 1 + 1 = YR Factor 2 </t>
  </si>
  <si>
    <t>File Yr</t>
  </si>
  <si>
    <t>Purc. Yr</t>
  </si>
  <si>
    <t>1           + 1 = Yr Factor 2</t>
  </si>
  <si>
    <t xml:space="preserve">Note: If Effective DateYear and Purchase Year = 0 use Yr Factor 1 = No Fee </t>
  </si>
  <si>
    <t>80,000lb Vehicle Calculation</t>
  </si>
  <si>
    <t>Plate fee 12 months:</t>
  </si>
  <si>
    <t>Apportion Percentage</t>
  </si>
  <si>
    <t xml:space="preserve">          X 1.695%</t>
  </si>
  <si>
    <t>Total Fee =</t>
  </si>
  <si>
    <t>Purchase Price:  $53,000.00 Purchase Date 12/18/2025  Effective Date= 1/1/2026</t>
  </si>
  <si>
    <t>2026 - 2025 = 1 + 1 = Yr Factor 2 (2025)</t>
  </si>
  <si>
    <t>Year</t>
  </si>
  <si>
    <t>Ad Val Fee:</t>
  </si>
  <si>
    <t>Yr 1 - 2026</t>
  </si>
  <si>
    <t>NO FEE</t>
  </si>
  <si>
    <t xml:space="preserve">Purchase Price=                  </t>
  </si>
  <si>
    <t>Yr 2 - 2025</t>
  </si>
  <si>
    <t xml:space="preserve">Year Factor:  Yr 2                 </t>
  </si>
  <si>
    <t>Yr 3 - 2024</t>
  </si>
  <si>
    <t xml:space="preserve">Ad Valorem Fee=                        </t>
  </si>
  <si>
    <t>Yr 4 - 2023</t>
  </si>
  <si>
    <t xml:space="preserve">Apportion Percentage            </t>
  </si>
  <si>
    <t xml:space="preserve">             X 1.695%</t>
  </si>
  <si>
    <t>Yr 5- 2022</t>
  </si>
  <si>
    <t xml:space="preserve">Total Ad Val Due=                           </t>
  </si>
  <si>
    <t>Yr 6 - 2021</t>
  </si>
  <si>
    <t xml:space="preserve">         X 1.695%</t>
  </si>
  <si>
    <t>Purchase Price:  $53,000.00 Purchase Date 12/18/2024  Effective Date= 1/01/2026</t>
  </si>
  <si>
    <t>2026 - 2024 = 2 + 1 = Yr Factor 3 (2024)</t>
  </si>
  <si>
    <t xml:space="preserve">Year Factor Yr 2                 </t>
  </si>
  <si>
    <t xml:space="preserve">Apportion Percentage             </t>
  </si>
  <si>
    <t xml:space="preserve">              X 1.695%</t>
  </si>
  <si>
    <t>Registration Fee Unit 1 Deleted</t>
  </si>
  <si>
    <t>Gross Weight Fee for 80,000 lbs:</t>
  </si>
  <si>
    <t>x9/12</t>
  </si>
  <si>
    <t>Reg Fee Credit</t>
  </si>
  <si>
    <t>(-$18.31)</t>
  </si>
  <si>
    <t>Registration Fee Unit 1 Added</t>
  </si>
  <si>
    <t>Reg Fee Due</t>
  </si>
  <si>
    <t>Total Reg Fee:</t>
  </si>
  <si>
    <t>Purchase Price:  $110,000.00 Purchase Date 12/18/2024  Effective Date= 1/01/2026</t>
  </si>
  <si>
    <t>KY Does not Transfer or Give Credit on Ad Valorem Fees</t>
  </si>
  <si>
    <t>Ky Does not refund Ad Val Credit.</t>
  </si>
  <si>
    <t xml:space="preserve">Year Factor: Yr 2               </t>
  </si>
  <si>
    <t xml:space="preserve">Ad Valorem Fee:                       </t>
  </si>
  <si>
    <t xml:space="preserve">Apportion Percentage:         </t>
  </si>
  <si>
    <t xml:space="preserve">           X   1.695%</t>
  </si>
  <si>
    <t>Total Registration &amp; AD Valorem Fees:</t>
  </si>
  <si>
    <t xml:space="preserve">Registration Fee </t>
  </si>
  <si>
    <t>Plate fee 07 months:</t>
  </si>
  <si>
    <t>Reg Fee =</t>
  </si>
  <si>
    <t>Purchase Price:  $150,000.00 Purchase Date 12/18/2024  Effective Date= 1/01/2026</t>
  </si>
  <si>
    <t xml:space="preserve">Purchase Price               </t>
  </si>
  <si>
    <t xml:space="preserve">Year Factor YR 2                </t>
  </si>
  <si>
    <t xml:space="preserve"> Apportion Percentage           </t>
  </si>
  <si>
    <t>Registration Fee added 73280lb</t>
  </si>
  <si>
    <t>Plate fee 06 months:</t>
  </si>
  <si>
    <t>Total Reg Fee =</t>
  </si>
  <si>
    <t>(-10.85)</t>
  </si>
  <si>
    <t>Registration Fee added 80,000lb</t>
  </si>
  <si>
    <t>KY does not charge Ad Val on weight change.</t>
  </si>
  <si>
    <t xml:space="preserve">Apportioned Annual Reg Fee (Bus) = Annual Fee x Apportionment Percentage </t>
  </si>
  <si>
    <t xml:space="preserve">Example: Effective date year 1/1/2026 subtracted from the purchase year 2024 = 2 + 1 = 3 use Year factor 3 rate. </t>
  </si>
  <si>
    <t>Purchase Price:  $295,000.00 Purchase Year 12/18/2024  Effective Date= 1/01/2026</t>
  </si>
  <si>
    <t>2026 - 2024 = 2 + 1 = Year Factor 3 (2024)</t>
  </si>
  <si>
    <t xml:space="preserve">Apportion Percentage           </t>
  </si>
  <si>
    <t>Total Registration and Ad Valorem Fee:</t>
  </si>
  <si>
    <t>IRP Fee Guidelines and Rules for Louisiana</t>
  </si>
  <si>
    <t>IRP Fee Guidelines and Rules for MAINE</t>
  </si>
  <si>
    <t>Yr 5 - 2022</t>
  </si>
  <si>
    <t>Yr 6 - 2021 &amp; older</t>
  </si>
  <si>
    <t xml:space="preserve">   x mil rate for Yr 1 (2026)</t>
  </si>
  <si>
    <t>IRP Fee Guidelines and Rules for ___Manitoba__________________</t>
  </si>
  <si>
    <t>IRP Fee Guidelines and Rules for _Maryland____________________</t>
  </si>
  <si>
    <t>80,000 x 22.75 = 1,820.00+10=1,830.00</t>
  </si>
  <si>
    <t>1,830.00 x 1.695% = 31.02</t>
  </si>
  <si>
    <t>Fee Due = $31.02</t>
  </si>
  <si>
    <t>74,000 x 22.75 = $1,263.75 + 10 = 1,273.75</t>
  </si>
  <si>
    <t>$1,273.75 x 1.695% = $21.59</t>
  </si>
  <si>
    <t>Fee Due = $21.59</t>
  </si>
  <si>
    <t xml:space="preserve">80,000 lb Tractor $910 x 1.695% = $15.42 </t>
  </si>
  <si>
    <t>Registration fee: $555.00 x 1.695% = $9.41</t>
  </si>
  <si>
    <t>Fee Due = $9.41</t>
  </si>
  <si>
    <t>IRP Fee Guidelines and Rules for _Massachusetts____________________</t>
  </si>
  <si>
    <t>IRP Fee Guidelines and Rules for ____Michigan_________________</t>
  </si>
  <si>
    <t>IRP Fee Guidelines and Rules for Minnesota</t>
  </si>
  <si>
    <r>
      <t xml:space="preserve">This document must be completed and returned to IRP, Inc. with your 2026 fee test results. </t>
    </r>
    <r>
      <rPr>
        <sz val="11"/>
        <color rgb="FF000000"/>
        <rFont val="Aptos"/>
        <family val="2"/>
      </rPr>
      <t xml:space="preserve">The purpose of this document is to collect basic guidelines, business rules and examples necessary to accurately calculate your jurisdictions' fee(s). Publication of this document on the IRP, Inc. website will assist other jurisdictions in verifying the accuracy of their calculations for your jurisdiction. </t>
    </r>
  </si>
  <si>
    <t>80,000 lb truck tractor, model year 2020-2026</t>
  </si>
  <si>
    <t xml:space="preserve">Minnesota apportionment </t>
  </si>
  <si>
    <t>Fee total</t>
  </si>
  <si>
    <t>Vehicle delete: 80,000 lb truck tractor, model year 2020-2026</t>
  </si>
  <si>
    <t>4/12 months registration</t>
  </si>
  <si>
    <t>Vehicle delete credit</t>
  </si>
  <si>
    <t>Vehicle add registration fee (9/12 * 29.83)</t>
  </si>
  <si>
    <t>Total remaining balance</t>
  </si>
  <si>
    <t>Vehicle add: 74,000 lb truck tractor, model year 2020-2026</t>
  </si>
  <si>
    <t>7/12 months registration</t>
  </si>
  <si>
    <t>Weight increase: 80,000 lb truck tractor, model year 2020-2026</t>
  </si>
  <si>
    <t>Registration fee 80,000 lb truck tractor, model year 2020-2026</t>
  </si>
  <si>
    <t>Registration fee 74,000 lb truck tractor, model year 2020-2026</t>
  </si>
  <si>
    <t>Difference between -</t>
  </si>
  <si>
    <t>Fee total (6/12 months)</t>
  </si>
  <si>
    <t>Weight 38,000, 3rd year of the life of the vehicle, gross weight</t>
  </si>
  <si>
    <t>Apportion</t>
  </si>
  <si>
    <t>80,000 Ib Tractor Private 2022</t>
  </si>
  <si>
    <t>80,000 Ib Tractor For Hire 2022</t>
  </si>
  <si>
    <t>80,000 Ib Tractor For Hire 2023</t>
  </si>
  <si>
    <t>12 months</t>
  </si>
  <si>
    <t>1 mo credit</t>
  </si>
  <si>
    <t>8 mo credit</t>
  </si>
  <si>
    <t>Credit from #2:</t>
  </si>
  <si>
    <t>Due:</t>
  </si>
  <si>
    <t>74,000 Ib Tractor For Hire 2026</t>
  </si>
  <si>
    <t>80,000 Ib Tractor For Hire 2026</t>
  </si>
  <si>
    <t>minus 6 mo fees from Test 4</t>
  </si>
  <si>
    <t>25,995 Ib 35 seat Bus 2024</t>
  </si>
  <si>
    <t>Unladen weight plus 150 lbs per seat</t>
  </si>
  <si>
    <t>25,995 + (35 x 150lbs) = 31,245</t>
  </si>
  <si>
    <t>IRP Fee Guidelines and Rules for ___Mississippi__________________</t>
  </si>
  <si>
    <t>IRP Fee Guidelines and Rules for _Missouri ____________________</t>
  </si>
  <si>
    <t xml:space="preserve"> 78,000 lbs to 80,000 lbs  - 6 month fee</t>
  </si>
  <si>
    <t>35 seats - full year fee</t>
  </si>
  <si>
    <t>370.50 x 1.695%= 6.28 (total Due)</t>
  </si>
  <si>
    <t>IRP Fee Guidelines and Rules for __MONTANA__</t>
  </si>
  <si>
    <t>Fee in Lieu: $242.00</t>
  </si>
  <si>
    <t>Fee Due:$17.20</t>
  </si>
  <si>
    <t>Fee in Lieu: $242.00.00</t>
  </si>
  <si>
    <t>Fee in Lieu: $199.5 for 9 months</t>
  </si>
  <si>
    <t>Fee due:   $13.30</t>
  </si>
  <si>
    <t>Total $3.77</t>
  </si>
  <si>
    <t>Fee Due:$3.77</t>
  </si>
  <si>
    <t>Fee in Lieu: $218.75</t>
  </si>
  <si>
    <t>Fee in Lieu: 0.00</t>
  </si>
  <si>
    <t>Registration Fee: 0.00</t>
  </si>
  <si>
    <t>Fee in Lieu: $250.00</t>
  </si>
  <si>
    <t>Fee Due:$8.27</t>
  </si>
  <si>
    <t>IRP Fee Guidelines and Rules for Nebraska</t>
  </si>
  <si>
    <t>See HandlogExcel-Fee Test 1 excel sheet.</t>
  </si>
  <si>
    <t>See HandlogExcel Fee Test 2 excel sheet.</t>
  </si>
  <si>
    <t>See HandlogExcel Fee Test 3 excel sheet.</t>
  </si>
  <si>
    <t>See HandlogExcel Fee Test 4 excel sheet.</t>
  </si>
  <si>
    <t>See HandlogExcel Fee Test 5 excel sheet.</t>
  </si>
  <si>
    <t>See HandlogExcel Fee Test 6 excel sheet.</t>
  </si>
  <si>
    <t>IRP Fee Guidelines and Rules for NEVADA</t>
  </si>
  <si>
    <t>NV OPC Chart Price for 2026 Truck/Tractor 3 axles:</t>
  </si>
  <si>
    <t>MSRP Factor for model year (2026):</t>
  </si>
  <si>
    <t>IRP Fee Guidelines and Rules for New Brunswick</t>
  </si>
  <si>
    <t>IRP Fee Guidelines and Rules for NEW HAMPSHIRE</t>
  </si>
  <si>
    <r>
      <t xml:space="preserve">IRP Fee Guidelines and Rules for </t>
    </r>
    <r>
      <rPr>
        <b/>
        <u/>
        <sz val="16"/>
        <rFont val="Aptos Display"/>
        <family val="2"/>
      </rPr>
      <t>_New Jersey_</t>
    </r>
  </si>
  <si>
    <t>Registration fee:  1223.00</t>
  </si>
  <si>
    <t>Registration Fee 9 months = 917.25</t>
  </si>
  <si>
    <t>Registration fee 7 months = 659.17</t>
  </si>
  <si>
    <t>IRP Fee Guidelines and Rules for _New Mexico____________________</t>
  </si>
  <si>
    <t>IRP Fee Guidelines and Rules for __NEW YORK 2026___________________</t>
  </si>
  <si>
    <t>Registration fee $89.25 X 1.69500% = $1.51</t>
  </si>
  <si>
    <t>DHBTF Fee  $22.25 X 1.69500% = $.38</t>
  </si>
  <si>
    <t>$1.51 + $.38 = $1.89 fees due</t>
  </si>
  <si>
    <t>IRP Fee Guidelines and Rules for</t>
  </si>
  <si>
    <t>Newfoundland</t>
  </si>
  <si>
    <r>
      <rPr>
        <b/>
        <sz val="11"/>
        <color theme="1"/>
        <rFont val="Calibri"/>
        <family val="2"/>
        <scheme val="minor"/>
      </rPr>
      <t xml:space="preserve">This document must be completed and returned to IRP, Inc. with your </t>
    </r>
    <r>
      <rPr>
        <b/>
        <sz val="11"/>
        <color rgb="FFFF0000"/>
        <rFont val="Calibri"/>
        <family val="2"/>
        <scheme val="minor"/>
      </rPr>
      <t>2026</t>
    </r>
    <r>
      <rPr>
        <b/>
        <sz val="11"/>
        <color theme="1"/>
        <rFont val="Calibri"/>
        <family val="2"/>
        <scheme val="minor"/>
      </rPr>
      <t xml:space="preserve"> fee test results. </t>
    </r>
    <r>
      <rPr>
        <sz val="11"/>
        <color theme="1"/>
        <rFont val="Calibri"/>
        <family val="2"/>
        <scheme val="minor"/>
      </rPr>
      <t xml:space="preserve">The purpose of this document is to collect basic guidelines, business rules and examples necessary to accurately calculate your jurisdictions' fee(s). Publication of this document on the IRP, Inc. website will assist other jurisdictions in verifying the accuracy of their calculations for your jurisdiction. </t>
    </r>
  </si>
  <si>
    <t>FOR EXAMPLE: A VEHICLE HAS A TARE WEIGHT OF 11,791 KGS AND A SEATING CAPACITY OF 35.  
THUS THE GVW = (35 X 68 = 2,380) + 11, 791 = 14,171 KGS.  IF YOU LOOK UP 14,171 KGS ON OUR FEE TABLE, WE HAVE AN ANNUAL FEE OF $857.00.  THIS PARTICULAR VEHICLE HAS A TRAVEL PERCENTAGE OF 0.01694 WHICH WOULD GIVE A FEE OF $14.52 WHICH IS INDEED WHAT IS CALCULATED ON THE APPLICATION.</t>
  </si>
  <si>
    <t>IRP Fee Guidelines and Rules for NORTH CAROLINA_____________________</t>
  </si>
  <si>
    <t>80,000 LB TRACTOR REGISTRATIN FEE</t>
  </si>
  <si>
    <t>NORTH CAROLINA ALLOWS CREDIT ON ALL TRANSFERS</t>
  </si>
  <si>
    <t>APPORTION FEE</t>
  </si>
  <si>
    <t>* ROUNDED TO THE NEAREST DOLLAR AMOUNT = $20.00</t>
  </si>
  <si>
    <t>1-</t>
  </si>
  <si>
    <t xml:space="preserve"> 6 MONTH FEE AT 74,000 LBS.</t>
  </si>
  <si>
    <t>2-</t>
  </si>
  <si>
    <t>6 MONTH FEE AT 80,000 LBS.</t>
  </si>
  <si>
    <t>A DIFFERENCE OF $</t>
  </si>
  <si>
    <t>$82.00 X 1.69491%= $1.39</t>
  </si>
  <si>
    <t xml:space="preserve">* ROUNDED TO THE NEAREST DOLLAR AMOUNT = $1.00 </t>
  </si>
  <si>
    <t xml:space="preserve">26,000 LB. BUS FEE </t>
  </si>
  <si>
    <t>APPORTIONED FEE %</t>
  </si>
  <si>
    <t>NC USES EMPTY/UNLADEN WEIGHT ON BUSES</t>
  </si>
  <si>
    <t>IRP Fee Guidelines and Rules for __North Dakota___________________</t>
  </si>
  <si>
    <t>TEST 1: Give the fee rules for your jurisdiction for Add vehicle for Private Carrier for 12 months.</t>
  </si>
  <si>
    <t>Registration fee: $2,356.00</t>
  </si>
  <si>
    <t>Apportion % x 1.695%</t>
  </si>
  <si>
    <t>Fee Due: $39.93</t>
  </si>
  <si>
    <t>TEST 2: Give the fee rules for your jurisdiction for Add vehicle for Haul for Hire for 12 months.</t>
  </si>
  <si>
    <t>TEST 3: Give the fee rules for your jurisdiction for Add/Delete vehicle for 9 months.</t>
  </si>
  <si>
    <t>36,287 kgs (80,000 lbs) Tractor (Deleted Vehicle)</t>
  </si>
  <si>
    <t>36,287 kgs (80,000 lbs) Tractor (Add Vehicle)</t>
  </si>
  <si>
    <t>Original Reg Fee: 12 mos = $2,356.00</t>
  </si>
  <si>
    <t>Delete Vehicle Value : 9 mos = $1,767.00</t>
  </si>
  <si>
    <t>Add Vehicle Value: 9 mos= $1,767.00</t>
  </si>
  <si>
    <t>TEST 4: Give the fee rules for your jurisdiction for add vehicle for Haul for Hire for 7 months.</t>
  </si>
  <si>
    <t>Registration fee: $1,263.12 ($2165.35/12*7)</t>
  </si>
  <si>
    <t>Fee Due: $21.41</t>
  </si>
  <si>
    <t>TEST 5: Give the fee rules for your jurisdiction for Weight Increase transaction for 6 months.</t>
  </si>
  <si>
    <t>33,566kgs (74,000 lbs) Tractor - Weight increase to 36,287 kgs (80,000 lbs)</t>
  </si>
  <si>
    <t>Original Registration Weight Fee (6 Months) $1,082.68</t>
  </si>
  <si>
    <t>New Registration Weight Fee (6 months) $1,178.00</t>
  </si>
  <si>
    <t>Difference $95.32</t>
  </si>
  <si>
    <t>Fee Due: $1.62</t>
  </si>
  <si>
    <t>TEST 6: Give the fee rules for your jurisdiction for Add Vehicle (BUS) for 12 months.</t>
  </si>
  <si>
    <t>Registration fees are based on gross weight that is designated on the application.</t>
  </si>
  <si>
    <t>Registration Fee: $1,146.25</t>
  </si>
  <si>
    <t>Apportion % x1.695%</t>
  </si>
  <si>
    <t>Fee Due: $19.43</t>
  </si>
  <si>
    <t>IRP Fee Guidelines and Rules for __Nova Scotia___________________</t>
  </si>
  <si>
    <t>IRP Fee Guidelines and Rules for  Ohio</t>
  </si>
  <si>
    <t>OH calculates Registration Fees in USD by declared GVW or CGVW as aplicable  in pounds</t>
  </si>
  <si>
    <t xml:space="preserve"> **advice for determining Ohio registered weight for Wreckers (TW)  below</t>
  </si>
  <si>
    <t xml:space="preserve">Monthly Prorated Registration Fees are provided in fee tables - if your system calculates monthly proration fees by dividing months remaining in RY by 12 please use "round away from zero" logic to create whole number fees prior to calculating apportionment </t>
  </si>
  <si>
    <t>Calculation Examples - Standard 12 Month Registrations</t>
  </si>
  <si>
    <t>80,000 lb. Semi-Tractor</t>
  </si>
  <si>
    <t>56,000 lb. Truck (Straight Truck)</t>
  </si>
  <si>
    <t>40,000 lb. Bus - 35 Seats</t>
  </si>
  <si>
    <t>Registration Fee (TK):</t>
  </si>
  <si>
    <t xml:space="preserve">Apportion %        </t>
  </si>
  <si>
    <t>1.695%</t>
  </si>
  <si>
    <t>Fee due**:</t>
  </si>
  <si>
    <t xml:space="preserve">**standard monetary rounding:  $0.005 and &gt; to next highest whole penny; and $0.004 and &lt; to next lowest whole penny </t>
  </si>
  <si>
    <t xml:space="preserve">IRP INC Fee Test (2026) Results using 1/1/2018 OH Fees  </t>
  </si>
  <si>
    <t xml:space="preserve"> Add vehicle for Private Carrier for 12 months.</t>
  </si>
  <si>
    <t>Add vehicle for Haul for Hire for 12 months.</t>
  </si>
  <si>
    <t xml:space="preserve">Add/Delete (Transfer) vehicle for 9 months. </t>
  </si>
  <si>
    <t>OH allows credit on all transfers</t>
  </si>
  <si>
    <t>Add vehicle for Haul for Hire for 7 months.</t>
  </si>
  <si>
    <t>Weight Increase transaction for 6 months.</t>
  </si>
  <si>
    <t>OH allows weight increases at any time</t>
  </si>
  <si>
    <t>$11.83 - $9.63= $2.20 Due</t>
  </si>
  <si>
    <t>Test 6:</t>
  </si>
  <si>
    <t>Add Vehicle (BUS) for 12  months.</t>
  </si>
  <si>
    <t>OH calculates Registration Fees Due by declared GVW, or CGVW if applicable</t>
  </si>
  <si>
    <t xml:space="preserve">**WRECKERS (TW) - Definitions to  assist in declaring the Ohio Registration Weight: </t>
  </si>
  <si>
    <r>
      <t xml:space="preserve">Tow Truck Wrecker Units </t>
    </r>
    <r>
      <rPr>
        <sz val="9"/>
        <color indexed="8"/>
        <rFont val="Calibri"/>
        <family val="2"/>
      </rPr>
      <t xml:space="preserve">- Gross Vehicle Weight (GVW) for tow trucks does not include the weight of the motor vehicle being towed if the wrecker truck is </t>
    </r>
    <r>
      <rPr>
        <u/>
        <sz val="9"/>
        <color indexed="8"/>
        <rFont val="Calibri"/>
        <family val="2"/>
      </rPr>
      <t>equipped</t>
    </r>
    <r>
      <rPr>
        <sz val="9"/>
        <color indexed="8"/>
        <rFont val="Calibri"/>
        <family val="2"/>
      </rPr>
      <t xml:space="preserve"> with a hook &amp; chain, or a wheel lift, to tow the motor vehicle.  Unladen weight and GVW on registration will be the same.</t>
    </r>
  </si>
  <si>
    <r>
      <t xml:space="preserve">Rollback Wrecker Units - </t>
    </r>
    <r>
      <rPr>
        <sz val="9"/>
        <color indexed="8"/>
        <rFont val="Calibri"/>
        <family val="2"/>
      </rPr>
      <t xml:space="preserve">Gross Vehicle Weight (GVW) for rollback wrecker units, where the motor vehicle being transported is wholly off the ground and in the bed of the rollback vehicle,  must include the maximum weight of any vehicle/load carried thereon with the weight of the fully equipped vehicle.  GVW or CGVW will be used for registration purposes.  If a rollback is also </t>
    </r>
    <r>
      <rPr>
        <u/>
        <sz val="9"/>
        <color indexed="8"/>
        <rFont val="Calibri"/>
        <family val="2"/>
      </rPr>
      <t>equipped</t>
    </r>
    <r>
      <rPr>
        <sz val="9"/>
        <color indexed="8"/>
        <rFont val="Calibri"/>
        <family val="2"/>
      </rPr>
      <t xml:space="preserve"> to tow a second motor vehicle using  hook &amp; chain, or a wheel lift, the weight of the towed vehicle is not included in the GVW or CGVW for registration purposes.</t>
    </r>
    <r>
      <rPr>
        <b/>
        <sz val="9"/>
        <color indexed="8"/>
        <rFont val="Calibri"/>
        <family val="2"/>
      </rPr>
      <t xml:space="preserve">
</t>
    </r>
  </si>
  <si>
    <r>
      <rPr>
        <b/>
        <sz val="9"/>
        <rFont val="Calibri"/>
        <family val="2"/>
      </rPr>
      <t xml:space="preserve">Tow Dollies - </t>
    </r>
    <r>
      <rPr>
        <sz val="9"/>
        <rFont val="Calibri"/>
        <family val="2"/>
      </rPr>
      <t>The weight of a commercial tow dolly and the maximum weight of the vehicle being towed must be  combined with the fully equipped vehicle's GVW for the Combined Gross Vehicle Weight (CGVW) for registration fees.</t>
    </r>
  </si>
  <si>
    <t>IRP Fee Guidelines and Rules for _Oklahoma____________________</t>
  </si>
  <si>
    <r>
      <t xml:space="preserve">16.06   </t>
    </r>
    <r>
      <rPr>
        <b/>
        <sz val="11"/>
        <color indexed="8"/>
        <rFont val="Calibri"/>
        <family val="2"/>
      </rPr>
      <t>ROUNDED TO 16.00</t>
    </r>
  </si>
  <si>
    <r>
      <t xml:space="preserve">1.69   </t>
    </r>
    <r>
      <rPr>
        <b/>
        <sz val="11"/>
        <color indexed="8"/>
        <rFont val="Calibri"/>
        <family val="2"/>
      </rPr>
      <t>ROUNDED TO 1.70</t>
    </r>
  </si>
  <si>
    <r>
      <t>711.00 x 1.695% = 12.05 credit</t>
    </r>
    <r>
      <rPr>
        <b/>
        <sz val="11"/>
        <color indexed="8"/>
        <rFont val="Calibri"/>
        <family val="2"/>
      </rPr>
      <t xml:space="preserve"> Rounded to $12.00</t>
    </r>
  </si>
  <si>
    <r>
      <t xml:space="preserve">x 1.695% = 12.05 </t>
    </r>
    <r>
      <rPr>
        <b/>
        <sz val="11"/>
        <color indexed="8"/>
        <rFont val="Calibri"/>
        <family val="2"/>
      </rPr>
      <t>Rounded to 12.00</t>
    </r>
  </si>
  <si>
    <r>
      <t xml:space="preserve">8.60 </t>
    </r>
    <r>
      <rPr>
        <b/>
        <sz val="11"/>
        <color indexed="8"/>
        <rFont val="Calibri"/>
        <family val="2"/>
      </rPr>
      <t>ROUNDED TO 9.00</t>
    </r>
  </si>
  <si>
    <r>
      <t xml:space="preserve">8.03 - 7.37 = 0.66 </t>
    </r>
    <r>
      <rPr>
        <b/>
        <sz val="11"/>
        <color indexed="8"/>
        <rFont val="Calibri"/>
        <family val="2"/>
      </rPr>
      <t>ROUNDED TO 1.00</t>
    </r>
  </si>
  <si>
    <r>
      <t xml:space="preserve">4.14 </t>
    </r>
    <r>
      <rPr>
        <b/>
        <sz val="11"/>
        <color indexed="8"/>
        <rFont val="Calibri"/>
        <family val="2"/>
      </rPr>
      <t>ROUNDED TO 5.00</t>
    </r>
  </si>
  <si>
    <t>IRP Fee Guidelines and Rules for  Ontario</t>
  </si>
  <si>
    <t>CAD$</t>
  </si>
  <si>
    <t>USD$</t>
  </si>
  <si>
    <t>Exchange Rate:</t>
  </si>
  <si>
    <t>Fee due:                  45.00 (32.56 U.S.)</t>
  </si>
  <si>
    <t>Fee due:                  25.00 (18.09 U.S.)</t>
  </si>
  <si>
    <t>Fee due:                  2.00 (1.45 U.S.)</t>
  </si>
  <si>
    <t>Fee due:                  17.00 (12.30 U.S.)</t>
  </si>
  <si>
    <r>
      <t>IRP Fee Guidelines and Rules for _</t>
    </r>
    <r>
      <rPr>
        <b/>
        <u/>
        <sz val="11"/>
        <rFont val="Calibri"/>
        <family val="2"/>
        <scheme val="minor"/>
      </rPr>
      <t>Oregon</t>
    </r>
    <r>
      <rPr>
        <b/>
        <sz val="11"/>
        <rFont val="Calibri"/>
        <family val="2"/>
        <scheme val="minor"/>
      </rPr>
      <t>____</t>
    </r>
  </si>
  <si>
    <r>
      <t xml:space="preserve">X </t>
    </r>
    <r>
      <rPr>
        <u/>
        <sz val="11"/>
        <color indexed="8"/>
        <rFont val="Calibri"/>
        <family val="2"/>
        <scheme val="minor"/>
      </rPr>
      <t>1.695%</t>
    </r>
  </si>
  <si>
    <r>
      <t xml:space="preserve">Apportion %                  X </t>
    </r>
    <r>
      <rPr>
        <u/>
        <sz val="11"/>
        <color indexed="8"/>
        <rFont val="Calibri"/>
        <family val="2"/>
        <scheme val="minor"/>
      </rPr>
      <t>1.695%</t>
    </r>
  </si>
  <si>
    <r>
      <t xml:space="preserve">Registration fee at 74,000lbs:                      -  </t>
    </r>
    <r>
      <rPr>
        <u/>
        <sz val="11"/>
        <color indexed="8"/>
        <rFont val="Calibri"/>
        <family val="2"/>
        <scheme val="minor"/>
      </rPr>
      <t>460.50</t>
    </r>
  </si>
  <si>
    <r>
      <t xml:space="preserve">Apportion %                                                      X </t>
    </r>
    <r>
      <rPr>
        <u/>
        <sz val="11"/>
        <color indexed="8"/>
        <rFont val="Calibri"/>
        <family val="2"/>
        <scheme val="minor"/>
      </rPr>
      <t>1.695%</t>
    </r>
  </si>
  <si>
    <r>
      <t xml:space="preserve">X  </t>
    </r>
    <r>
      <rPr>
        <u/>
        <sz val="11"/>
        <color theme="1"/>
        <rFont val="Calibri"/>
        <family val="2"/>
        <scheme val="minor"/>
      </rPr>
      <t>1.695%</t>
    </r>
  </si>
  <si>
    <t>IRP Fee Guidelines and Rules for __PENNSYLVANIA__</t>
  </si>
  <si>
    <t xml:space="preserve">Schedule #1 fee $1,377.00 X 1.695% =  $23.34015 </t>
  </si>
  <si>
    <t xml:space="preserve">Schedule #1 fee $1,300.00 X 1.695% = $22.035 </t>
  </si>
  <si>
    <t>80,000 6 months $24.87</t>
  </si>
  <si>
    <t>74,000 6 months $23.56</t>
  </si>
  <si>
    <r>
      <t xml:space="preserve">This document must be completed and returned to IRP, Inc. with your 2026 fee test results. </t>
    </r>
    <r>
      <rPr>
        <sz val="11"/>
        <color rgb="FF000000"/>
        <rFont val="Aptos"/>
        <family val="2"/>
      </rPr>
      <t xml:space="preserve">The purpose of this                                                                                                                                          document is to collect basic guidelines, business rules and examples necessary to accurately calculate your              jurisdictions' fee(s). Publication of this document on the IRP, Inc. website will assist other jurisdictions in verifying the accuracy of their calculations for your jurisdiction. </t>
    </r>
  </si>
  <si>
    <t>IRP Fee Guidelines and Rules for Quebec</t>
  </si>
  <si>
    <r>
      <t>Give the fee rules for your jurisdiction for Add vehicle for Private Carrier for 12 months.</t>
    </r>
    <r>
      <rPr>
        <b/>
        <sz val="11"/>
        <color theme="1"/>
        <rFont val="Calibri"/>
        <family val="2"/>
        <scheme val="minor"/>
      </rPr>
      <t xml:space="preserve"> </t>
    </r>
    <r>
      <rPr>
        <b/>
        <u/>
        <sz val="11"/>
        <color theme="1"/>
        <rFont val="Calibri"/>
        <family val="2"/>
        <scheme val="minor"/>
      </rPr>
      <t>- 5 axles</t>
    </r>
  </si>
  <si>
    <r>
      <t xml:space="preserve">Fee due (US):  $ 49.00 </t>
    </r>
    <r>
      <rPr>
        <i/>
        <sz val="11"/>
        <color theme="1"/>
        <rFont val="Calibri"/>
        <family val="2"/>
        <scheme val="minor"/>
      </rPr>
      <t>CDN$</t>
    </r>
    <r>
      <rPr>
        <sz val="11"/>
        <color theme="1"/>
        <rFont val="Calibri"/>
        <family val="2"/>
        <scheme val="minor"/>
      </rPr>
      <t xml:space="preserve"> / 1.3821 =  </t>
    </r>
  </si>
  <si>
    <r>
      <t xml:space="preserve">Give the fee rules for your jurisdiction for Add vehicle for Haul for Hire for 12 months. </t>
    </r>
    <r>
      <rPr>
        <b/>
        <u/>
        <sz val="11"/>
        <color theme="1"/>
        <rFont val="Calibri"/>
        <family val="2"/>
        <scheme val="minor"/>
      </rPr>
      <t>- 5 axles</t>
    </r>
  </si>
  <si>
    <r>
      <t xml:space="preserve">Give the fee rules for your jurisdiction for Add/Delete vehicle for 9 months. </t>
    </r>
    <r>
      <rPr>
        <b/>
        <u/>
        <sz val="11"/>
        <color theme="1"/>
        <rFont val="Calibri"/>
        <family val="2"/>
        <scheme val="minor"/>
      </rPr>
      <t>- 5 axles</t>
    </r>
  </si>
  <si>
    <t>- $ 36.75</t>
  </si>
  <si>
    <t>Rounded to 36.75$</t>
  </si>
  <si>
    <t>$ 36.75  -  $ 36.75 =</t>
  </si>
  <si>
    <t>$ 0.00</t>
  </si>
  <si>
    <r>
      <t xml:space="preserve">Give the fee rules for your jurisdiction for add vehicle for Haul for Hire for 7 months. </t>
    </r>
    <r>
      <rPr>
        <b/>
        <u/>
        <sz val="11"/>
        <color theme="1"/>
        <rFont val="Calibri"/>
        <family val="2"/>
        <scheme val="minor"/>
      </rPr>
      <t>- 5 axles</t>
    </r>
  </si>
  <si>
    <t>Fee due (US):  $ 28.50 CDN  /  1.3821  =</t>
  </si>
  <si>
    <r>
      <t xml:space="preserve">Give the fee rules for your jurisdiction for Weight Increase transaction for 6 months. </t>
    </r>
    <r>
      <rPr>
        <b/>
        <u/>
        <sz val="11"/>
        <color theme="1"/>
        <rFont val="Calibri"/>
        <family val="2"/>
        <scheme val="minor"/>
      </rPr>
      <t>-From 5 to 6 axles</t>
    </r>
  </si>
  <si>
    <r>
      <t xml:space="preserve">Previous GVW : 5 axles for Quebec : $ 2 889 x 0.01695 x .50 (6 months) = </t>
    </r>
    <r>
      <rPr>
        <b/>
        <sz val="11"/>
        <color theme="1"/>
        <rFont val="Calibri"/>
        <family val="2"/>
        <scheme val="minor"/>
      </rPr>
      <t xml:space="preserve"> - </t>
    </r>
    <r>
      <rPr>
        <b/>
        <u/>
        <sz val="11"/>
        <color theme="1"/>
        <rFont val="Calibri"/>
        <family val="2"/>
        <scheme val="minor"/>
      </rPr>
      <t>$ 24.50</t>
    </r>
  </si>
  <si>
    <t>Rounded to 33.50$</t>
  </si>
  <si>
    <t>33.50 - 24.50 =</t>
  </si>
  <si>
    <t>Fee due (US):  $ 9.00 CDN  /  1.3821  =</t>
  </si>
  <si>
    <r>
      <t xml:space="preserve">Give the fee rules for your jurisdiction for Add Vehicle (BUS) for 12  months.   </t>
    </r>
    <r>
      <rPr>
        <b/>
        <u/>
        <sz val="11"/>
        <color theme="1"/>
        <rFont val="Calibri"/>
        <family val="2"/>
        <scheme val="minor"/>
      </rPr>
      <t>11791 kg / 26 000 lbs</t>
    </r>
  </si>
  <si>
    <t>Fee due (us):  $ 17.20 CDN / 1.3821 =</t>
  </si>
  <si>
    <t>IRP Fee Guidelines and Rules for _RHODE ISLAND____________________</t>
  </si>
  <si>
    <t>18.00+73.30=91.30</t>
  </si>
  <si>
    <t>IRP Fee Guidelines and Rules for __Saskatchewan___________________</t>
  </si>
  <si>
    <t>SC Registration Fee (Base Plate Fee X (Apportioned Factor / 100)) (Rounded)</t>
  </si>
  <si>
    <t>SC RUF Purchase Price X Depreciation X Millage Rate X Apportioned Factor /100 (Rounded)</t>
  </si>
  <si>
    <t>GVW 80,000 lb TT</t>
  </si>
  <si>
    <t>Registration Fee:  $800 *(1.695/100) = $13.56 (Rounded)</t>
  </si>
  <si>
    <t>SC RUF: 136000*0.9*0.0269*(1.695/100) = $55.81 (Rounded)</t>
  </si>
  <si>
    <t xml:space="preserve">Total SC Fees Due $13.56+$55.81 = $69.37 </t>
  </si>
  <si>
    <t>Total SC Fees Due $13.56+$55.81 = $69.37</t>
  </si>
  <si>
    <t>GVW 80,000 lb  TT</t>
  </si>
  <si>
    <t xml:space="preserve">SC New Veh Reg Fee </t>
  </si>
  <si>
    <t>600*(1.695/100)=$10.17 (Rounded)</t>
  </si>
  <si>
    <t xml:space="preserve">SC Old Veh Reg Fee </t>
  </si>
  <si>
    <t>600*(1.695/100)-$10.17 (Rounded)</t>
  </si>
  <si>
    <t>Total SC Reg Due = $10.17 - $ 10.17= $0</t>
  </si>
  <si>
    <t>SC New Veh RUF: 199720*0.9*0.0269*0.75*(1.695/100)= $61.47 (Rounded)</t>
  </si>
  <si>
    <t>SC Old Veh RUF: 136000*0.9*0.0269*0.75*(1.695/100)= $41.86 (Rounded)</t>
  </si>
  <si>
    <t>Total SC RUF Due= $61.47- $41.86= $19.61</t>
  </si>
  <si>
    <t>GVW 74,000 lb  TT</t>
  </si>
  <si>
    <t>SC Registration Fee: 400.75*(1.695/100)= $6.79 (Rounded)</t>
  </si>
  <si>
    <t>SC RUF: 190000*0.9*0.0269*0.58333*(1.695/100)= $45.48 (Rounded)</t>
  </si>
  <si>
    <t>Total SC Fees Due $6.79+$45.48 = $52.27</t>
  </si>
  <si>
    <t>SC New Weight Fee: 400*(1.695/100)= $6.78 (Rounded)</t>
  </si>
  <si>
    <t>SC Old weight Fee: 343.5*(1.695/100)= $5.82 (Rounded)</t>
  </si>
  <si>
    <t>Total SC Registration Due:  $6.78-$5.82 = $0.96</t>
  </si>
  <si>
    <t>Bus fees calculated using GVW similar to TK/TR/TT</t>
  </si>
  <si>
    <t>GVW 38000 lb Bus</t>
  </si>
  <si>
    <t>SC Registration Fee: 286*(1.695/100)= $4.85 (Rounded)</t>
  </si>
  <si>
    <t>SC RUF: 359000*0.9*0.0269*(1.695/100)= $147.32 (Rounded)</t>
  </si>
  <si>
    <t>SC Fees Due $4.85+$147.32 = $152.17</t>
  </si>
  <si>
    <t>IRP Fee Guidelines and Rules for ____South Carolina_________________</t>
  </si>
  <si>
    <t>IRP Fee Guidelines and Rules for SOUTH DAKOTA</t>
  </si>
  <si>
    <r>
      <t xml:space="preserve">IRP Fee Guidelines and Rules for  </t>
    </r>
    <r>
      <rPr>
        <b/>
        <u/>
        <sz val="16"/>
        <rFont val="Aptos Display"/>
        <family val="2"/>
      </rPr>
      <t>Tennessee</t>
    </r>
  </si>
  <si>
    <t>Registration fee:  1386.50</t>
  </si>
  <si>
    <t xml:space="preserve">Excise fee:            </t>
  </si>
  <si>
    <t xml:space="preserve">Total fee               = 1386.50 </t>
  </si>
  <si>
    <t xml:space="preserve">Total fee    </t>
  </si>
  <si>
    <t>Apportion %        1.695%</t>
  </si>
  <si>
    <t>Fee due:                 23.50</t>
  </si>
  <si>
    <t>Registration fee:  1039.88</t>
  </si>
  <si>
    <t>Total fee               = 1039.88</t>
  </si>
  <si>
    <t>Fee due:                17.63</t>
  </si>
  <si>
    <t>Registration fee:  614.25</t>
  </si>
  <si>
    <t>Total fee               = 614.25</t>
  </si>
  <si>
    <t>Fee due:               10.41</t>
  </si>
  <si>
    <t xml:space="preserve">From 74,000 lb to 80,000 lb Tractor </t>
  </si>
  <si>
    <t>Upgrade fees from 74K to 80K</t>
  </si>
  <si>
    <t>35 Seats Bus</t>
  </si>
  <si>
    <t>Registration fee:  245.12</t>
  </si>
  <si>
    <t>Total fee               = 245.12</t>
  </si>
  <si>
    <t>Fee due:               4.15</t>
  </si>
  <si>
    <t>IRP Fee Guidelines and Rules for TEXAS</t>
  </si>
  <si>
    <t>IRP Fee Guidelines and Rules for ________UTAH_____________</t>
  </si>
  <si>
    <t xml:space="preserve">Registration fee:   707.50    </t>
  </si>
  <si>
    <t>Excise Fee:              +600.00</t>
  </si>
  <si>
    <t>Total Fee:               =1307.50</t>
  </si>
  <si>
    <t>Apportion %           X1.695%</t>
  </si>
  <si>
    <t>Fee due:                 =22.16</t>
  </si>
  <si>
    <t>Registration fee:      707.50</t>
  </si>
  <si>
    <t>Excise Fee:      +600.00</t>
  </si>
  <si>
    <t>Total Fee:       =1307.50</t>
  </si>
  <si>
    <t>Apportion %    X1.695%</t>
  </si>
  <si>
    <t>Fee Due:      =22.16</t>
  </si>
  <si>
    <t>Registration fee   : 636.75</t>
  </si>
  <si>
    <t>Reg fee:     636.75</t>
  </si>
  <si>
    <t>Total fee:    19.95</t>
  </si>
  <si>
    <t>Excise fee:     +540</t>
  </si>
  <si>
    <t>Apportion %    1.695</t>
  </si>
  <si>
    <t>Delete Credit:   10.79</t>
  </si>
  <si>
    <t>Total fee:     1176.75</t>
  </si>
  <si>
    <t>Delete Credit=    10.79</t>
  </si>
  <si>
    <t>Total fee:    9.40</t>
  </si>
  <si>
    <t>Apportion %      X1.695%</t>
  </si>
  <si>
    <t>Fee due:      19.95</t>
  </si>
  <si>
    <t>MSO/MCO</t>
  </si>
  <si>
    <t>Reg fee:          585.45</t>
  </si>
  <si>
    <t>Apportion %   X1.695%</t>
  </si>
  <si>
    <t>Total fee:       =9.92</t>
  </si>
  <si>
    <t>Registration fee 80,000lb:     424.00</t>
  </si>
  <si>
    <t>Registration fee 74,000lb:    -390.00</t>
  </si>
  <si>
    <t>Total:                                              34.00</t>
  </si>
  <si>
    <t>Apportion %                              X 1.695%</t>
  </si>
  <si>
    <t>Fee Due:                                        = .58</t>
  </si>
  <si>
    <t>Bus</t>
  </si>
  <si>
    <t>Registration fee:    308.50</t>
  </si>
  <si>
    <t>Excise fee:           +300.00</t>
  </si>
  <si>
    <t>Total:                      =608.50</t>
  </si>
  <si>
    <t>Apportion %         X1.695%</t>
  </si>
  <si>
    <t>Total fee:               =10.31</t>
  </si>
  <si>
    <r>
      <t xml:space="preserve">IRP Fee Guidelines and Rules for </t>
    </r>
    <r>
      <rPr>
        <b/>
        <u/>
        <sz val="16"/>
        <rFont val="Aptos Display"/>
        <family val="2"/>
      </rPr>
      <t>VIRGINIA</t>
    </r>
    <r>
      <rPr>
        <b/>
        <sz val="16"/>
        <rFont val="Aptos Display"/>
        <family val="2"/>
      </rPr>
      <t>_______</t>
    </r>
  </si>
  <si>
    <t>80,000 lb Tractor Trailer</t>
  </si>
  <si>
    <t>WA Registration Fee:</t>
  </si>
  <si>
    <t>WA Freight Fee:</t>
  </si>
  <si>
    <t>x</t>
  </si>
  <si>
    <t>80,000 lb Tractor Trailer (Add)</t>
  </si>
  <si>
    <t>80,000 lb Tractor Trailer (Delete)</t>
  </si>
  <si>
    <t>Add Fee Due:</t>
  </si>
  <si>
    <t>Delete Fee Due:</t>
  </si>
  <si>
    <t>74,000 lb Tractor Trailer</t>
  </si>
  <si>
    <t>74,000 lb Tractor Trailer (Credit)</t>
  </si>
  <si>
    <t>80,000 lb Tractor Trailer (New Weight)</t>
  </si>
  <si>
    <t>New Weight Fee Due:</t>
  </si>
  <si>
    <t>Credit Fee Due:</t>
  </si>
  <si>
    <t xml:space="preserve">Washington bus formula </t>
  </si>
  <si>
    <t>Weight per Seat:</t>
  </si>
  <si>
    <t>150 lbs</t>
  </si>
  <si>
    <t>Number of Seats:</t>
  </si>
  <si>
    <t>(Including driver)</t>
  </si>
  <si>
    <t>Unladen Weight:</t>
  </si>
  <si>
    <t>Gross Weight:</t>
  </si>
  <si>
    <t>(Rounded up to next 2,000 lbs weight)</t>
  </si>
  <si>
    <t>Final Gross Weight</t>
  </si>
  <si>
    <t>&gt;&gt;</t>
  </si>
  <si>
    <t>32,000 lb bus</t>
  </si>
  <si>
    <r>
      <t xml:space="preserve">IRP Fee Guidelines and Rules for </t>
    </r>
    <r>
      <rPr>
        <b/>
        <u/>
        <sz val="16"/>
        <rFont val="Times New Roman"/>
        <family val="1"/>
      </rPr>
      <t xml:space="preserve"> WEST VIRGINIA </t>
    </r>
  </si>
  <si>
    <t>IRP Fee Guidelines and Rules for Wisconsin</t>
  </si>
  <si>
    <t>IRP Fee Guidelines and Rules for Wyoming</t>
  </si>
  <si>
    <t>IRP Fee Guidelines and Rules for __Arkansas__</t>
  </si>
  <si>
    <t>Registration fee:  1553.00</t>
  </si>
  <si>
    <t xml:space="preserve">Excise fee:              $0.00 </t>
  </si>
  <si>
    <t xml:space="preserve">Total fee               = 1553.00 </t>
  </si>
  <si>
    <t>Fee due:                  $26.32</t>
  </si>
  <si>
    <t xml:space="preserve">Add/Delete (Plate Transfer): Allows a credit from a deleted vehicle to be applied   </t>
  </si>
  <si>
    <t xml:space="preserve"> to an added vehicle only if both transactions are on the same supplement.</t>
  </si>
  <si>
    <t>Transfers allowed between (TR, TT,  TK and Bus).</t>
  </si>
  <si>
    <t>No fees charged since credit is allowed on transfers. Vehicles must be transferred</t>
  </si>
  <si>
    <t xml:space="preserve">at the same weight only. </t>
  </si>
  <si>
    <t>Registration fee:  906.00</t>
  </si>
  <si>
    <t xml:space="preserve">Total fee               = 906.00 </t>
  </si>
  <si>
    <t>Fee due:                  $15.36</t>
  </si>
  <si>
    <t>Weight increases: Allow an increase in weight at any time of year. Fees calculated from date of increase.</t>
  </si>
  <si>
    <t>As for Arkansas, vehicles with GVW 73,281 to 80,000 lbs have the same fee amounts.</t>
  </si>
  <si>
    <t xml:space="preserve">38,000 lb BUS </t>
  </si>
  <si>
    <t>Registration fee:  321.00</t>
  </si>
  <si>
    <t xml:space="preserve">Excise fee:               $0.00 </t>
  </si>
  <si>
    <t xml:space="preserve">Total fee               = 321.00 </t>
  </si>
  <si>
    <t>Fee due:                  $5.44</t>
  </si>
  <si>
    <t>IRP Fee Guidelines and Rules for _____Illinois________________</t>
  </si>
  <si>
    <t>X 1.695%</t>
  </si>
  <si>
    <t>80,000 lb tractor deleted and 80,000 lb tractor added.</t>
  </si>
  <si>
    <t>Illinois does not charge registration fees for add/delete vehicle at same weight.</t>
  </si>
  <si>
    <t>74,000 tractor</t>
  </si>
  <si>
    <t>80,000 Tractor</t>
  </si>
  <si>
    <t>Credit given</t>
  </si>
  <si>
    <t>New Fee</t>
  </si>
  <si>
    <t>38,000 lb bus</t>
  </si>
  <si>
    <t>Total Canadian Fee Due - $115.59 ($115.59 + $25.92 - $25.92)</t>
  </si>
  <si>
    <r>
      <t>IRP Fee Guidelines and Rules for _</t>
    </r>
    <r>
      <rPr>
        <b/>
        <u/>
        <sz val="16"/>
        <rFont val="Aptos Display"/>
        <family val="2"/>
      </rPr>
      <t>_VERMONT_</t>
    </r>
    <r>
      <rPr>
        <b/>
        <sz val="16"/>
        <rFont val="Aptos Display"/>
        <family val="2"/>
      </rPr>
      <t>__________________</t>
    </r>
  </si>
  <si>
    <t>For Vermont</t>
  </si>
  <si>
    <t>Excise Fee</t>
  </si>
  <si>
    <t>No fees due for transfer</t>
  </si>
  <si>
    <t>WA Safety Fee:</t>
  </si>
  <si>
    <t>VSIF</t>
  </si>
  <si>
    <t xml:space="preserve"> $                -  </t>
  </si>
  <si>
    <t xml:space="preserve"> $                        -  </t>
  </si>
  <si>
    <t xml:space="preserve">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</si>
</sst>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0.00000%"/>
    <numFmt numFmtId="165" formatCode="\+000000"/>
    <numFmt numFmtId="166" formatCode="&quot;$&quot;#,##0.00"/>
    <numFmt numFmtId="167" formatCode="0.000%"/>
    <numFmt numFmtId="168" formatCode="0.0000"/>
    <numFmt numFmtId="169" formatCode="&quot;$&quot;#,##0"/>
    <numFmt numFmtId="170" formatCode="#,##0.00000"/>
    <numFmt numFmtId="171" formatCode="#,##0.0000"/>
    <numFmt numFmtId="172" formatCode="_(* #,##0_);_(* \(#,##0\);_(* &quot;-&quot;??_);_(@_)"/>
    <numFmt numFmtId="173" formatCode="0.00000"/>
    <numFmt numFmtId="174" formatCode="#,##0.00000_);[Red]\(#,##0.00000\)"/>
    <numFmt numFmtId="175" formatCode="#,##0.0000_);[Red]\(#,##0.0000\)"/>
    <numFmt numFmtId="176" formatCode="&quot;$&quot;#,##0.0000"/>
    <numFmt numFmtId="177" formatCode="0.00_);\(0.00\)"/>
    <numFmt numFmtId="178" formatCode="#,##0\ &quot;$&quot;_);[Red]\(#,##0\ &quot;$&quot;\)"/>
    <numFmt numFmtId="179" formatCode="_ * #,##0.00_)\ &quot;$&quot;_ ;_ * \(#,##0.00\)\ &quot;$&quot;_ ;_ * &quot;-&quot;??_)\ &quot;$&quot;_ ;_ @_ "/>
    <numFmt numFmtId="180" formatCode="#,##0.00\ &quot;$&quot;_);\(#,##0.00\ &quot;$&quot;\)"/>
    <numFmt numFmtId="181" formatCode="#,##0.00\ &quot;$&quot;"/>
    <numFmt numFmtId="182" formatCode="_([$$-409]* #,##0.00_);_([$$-409]* \(#,##0.00\);_([$$-409]* &quot;-&quot;??_);_(@_)"/>
    <numFmt numFmtId="183" formatCode="&quot;$&quot;#,##0.00;[Red]\-&quot;$&quot;#,##0.00"/>
    <numFmt numFmtId="184" formatCode="&quot;$&quot;#,##0;[Red]\-&quot;$&quot;#,##0"/>
    <numFmt numFmtId="185" formatCode="_(* #,##0.00000_);_(* \(#,##0.00000\);_(* &quot;-&quot;??_);_(@_)"/>
    <numFmt numFmtId="186" formatCode="0.0000%"/>
  </numFmts>
  <fonts count="127" x14ac:knownFonts="1">
    <font>
      <sz val="11"/>
      <color theme="1"/>
      <name val="Calibri"/>
      <family val="2"/>
      <scheme val="minor"/>
    </font>
    <font>
      <sz val="10"/>
      <name val="Arial"/>
      <family val="2"/>
    </font>
    <font>
      <b/>
      <sz val="16"/>
      <name val="Times New Roman"/>
      <family val="1"/>
    </font>
    <font>
      <i/>
      <sz val="11"/>
      <color indexed="8"/>
      <name val="Calibri"/>
      <family val="2"/>
    </font>
    <font>
      <i/>
      <sz val="10"/>
      <color indexed="8"/>
      <name val="Calibri"/>
      <family val="2"/>
    </font>
    <font>
      <b/>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b/>
      <u/>
      <sz val="16"/>
      <name val="Times New Roman"/>
      <family val="1"/>
    </font>
    <font>
      <sz val="11"/>
      <color rgb="FF1F497D"/>
      <name val="Calibri"/>
      <family val="2"/>
      <scheme val="minor"/>
    </font>
    <font>
      <sz val="11"/>
      <color indexed="8"/>
      <name val="Calibri"/>
      <family val="2"/>
    </font>
    <font>
      <sz val="12"/>
      <name val="Arial"/>
      <family val="2"/>
    </font>
    <font>
      <sz val="10"/>
      <name val="MS Sans Serif"/>
    </font>
    <font>
      <sz val="11"/>
      <color rgb="FFFF0000"/>
      <name val="Calibri"/>
      <family val="2"/>
      <scheme val="minor"/>
    </font>
    <font>
      <sz val="11"/>
      <color rgb="FF000000"/>
      <name val="Calibri"/>
      <family val="2"/>
      <scheme val="minor"/>
    </font>
    <font>
      <b/>
      <sz val="11"/>
      <color rgb="FF000000"/>
      <name val="Calibri"/>
      <family val="2"/>
      <scheme val="minor"/>
    </font>
    <font>
      <i/>
      <sz val="11"/>
      <color rgb="FF000000"/>
      <name val="Calibri"/>
      <family val="2"/>
      <scheme val="minor"/>
    </font>
    <font>
      <i/>
      <sz val="10"/>
      <color rgb="FF000000"/>
      <name val="Calibri"/>
      <family val="2"/>
      <scheme val="minor"/>
    </font>
    <font>
      <b/>
      <i/>
      <sz val="11"/>
      <color rgb="FF000000"/>
      <name val="Calibri"/>
      <family val="2"/>
      <scheme val="minor"/>
    </font>
    <font>
      <b/>
      <sz val="11"/>
      <color rgb="FFFF0000"/>
      <name val="Calibri"/>
      <family val="2"/>
      <scheme val="minor"/>
    </font>
    <font>
      <b/>
      <i/>
      <sz val="11"/>
      <name val="Calibri"/>
      <family val="2"/>
      <scheme val="minor"/>
    </font>
    <font>
      <sz val="10"/>
      <name val="Calibri"/>
      <family val="2"/>
      <scheme val="minor"/>
    </font>
    <font>
      <sz val="10"/>
      <color rgb="FF000000"/>
      <name val="Calibri"/>
      <family val="2"/>
      <scheme val="minor"/>
    </font>
    <font>
      <b/>
      <sz val="10"/>
      <color rgb="FF000000"/>
      <name val="Calibri"/>
      <family val="2"/>
      <scheme val="minor"/>
    </font>
    <font>
      <b/>
      <sz val="10"/>
      <color rgb="FFFF0000"/>
      <name val="Calibri"/>
      <family val="2"/>
      <scheme val="minor"/>
    </font>
    <font>
      <b/>
      <sz val="10"/>
      <name val="Calibri"/>
      <family val="2"/>
      <scheme val="minor"/>
    </font>
    <font>
      <sz val="11"/>
      <color rgb="FF000000"/>
      <name val="Aptos Narrow"/>
      <family val="2"/>
    </font>
    <font>
      <b/>
      <sz val="11"/>
      <color rgb="FF000000"/>
      <name val="Aptos Narrow"/>
      <family val="2"/>
    </font>
    <font>
      <sz val="12"/>
      <name val="Calibri"/>
      <family val="2"/>
      <scheme val="minor"/>
    </font>
    <font>
      <b/>
      <sz val="9"/>
      <color rgb="FF000000"/>
      <name val="Calibri"/>
      <family val="2"/>
      <scheme val="minor"/>
    </font>
    <font>
      <sz val="9"/>
      <name val="Calibri"/>
      <family val="2"/>
      <scheme val="minor"/>
    </font>
    <font>
      <i/>
      <sz val="11"/>
      <color rgb="FFFF0000"/>
      <name val="Calibri"/>
      <family val="2"/>
      <scheme val="minor"/>
    </font>
    <font>
      <b/>
      <sz val="10"/>
      <name val="Arial"/>
      <family val="2"/>
    </font>
    <font>
      <sz val="9"/>
      <name val="Arial"/>
      <family val="2"/>
    </font>
    <font>
      <b/>
      <u/>
      <sz val="10"/>
      <name val="Arial"/>
      <family val="2"/>
    </font>
    <font>
      <sz val="10"/>
      <color rgb="FFFF0000"/>
      <name val="Arial"/>
      <family val="2"/>
    </font>
    <font>
      <b/>
      <u/>
      <sz val="11"/>
      <name val="Calibri"/>
      <family val="2"/>
      <scheme val="minor"/>
    </font>
    <font>
      <i/>
      <sz val="11"/>
      <name val="Calibri"/>
      <family val="2"/>
      <scheme val="minor"/>
    </font>
    <font>
      <b/>
      <i/>
      <sz val="11"/>
      <color indexed="8"/>
      <name val="Calibri"/>
      <family val="2"/>
    </font>
    <font>
      <i/>
      <sz val="10"/>
      <name val="Calibri"/>
      <family val="2"/>
      <scheme val="minor"/>
    </font>
    <font>
      <b/>
      <sz val="11"/>
      <color rgb="FF002060"/>
      <name val="Calibri"/>
      <family val="2"/>
      <scheme val="minor"/>
    </font>
    <font>
      <sz val="11"/>
      <color rgb="FF002060"/>
      <name val="Calibri"/>
      <family val="2"/>
      <scheme val="minor"/>
    </font>
    <font>
      <b/>
      <sz val="11"/>
      <color rgb="FF0070C0"/>
      <name val="Aptos Narrow"/>
      <family val="2"/>
    </font>
    <font>
      <b/>
      <i/>
      <sz val="11"/>
      <color theme="1"/>
      <name val="Calibri"/>
      <family val="2"/>
      <scheme val="minor"/>
    </font>
    <font>
      <b/>
      <sz val="11"/>
      <color indexed="8"/>
      <name val="Calibri"/>
      <family val="2"/>
    </font>
    <font>
      <u/>
      <sz val="11"/>
      <color theme="1"/>
      <name val="Calibri"/>
      <family val="2"/>
      <scheme val="minor"/>
    </font>
    <font>
      <b/>
      <sz val="16"/>
      <name val="Aptos Display"/>
      <family val="2"/>
    </font>
    <font>
      <b/>
      <u/>
      <sz val="16"/>
      <name val="Aptos Display"/>
      <family val="2"/>
    </font>
    <font>
      <sz val="11"/>
      <color theme="1"/>
      <name val="Aptos"/>
      <family val="2"/>
    </font>
    <font>
      <b/>
      <sz val="11"/>
      <color theme="1"/>
      <name val="Aptos"/>
      <family val="2"/>
    </font>
    <font>
      <i/>
      <sz val="11"/>
      <color indexed="8"/>
      <name val="Aptos"/>
      <family val="2"/>
    </font>
    <font>
      <i/>
      <sz val="10"/>
      <color indexed="8"/>
      <name val="Aptos"/>
      <family val="2"/>
    </font>
    <font>
      <sz val="9"/>
      <color theme="1"/>
      <name val="Calibri"/>
      <family val="2"/>
      <scheme val="minor"/>
    </font>
    <font>
      <b/>
      <sz val="16"/>
      <color theme="1"/>
      <name val="Times New Roman"/>
    </font>
    <font>
      <b/>
      <u/>
      <sz val="16"/>
      <color theme="1"/>
      <name val="Times New Roman"/>
    </font>
    <font>
      <sz val="11"/>
      <color theme="1"/>
      <name val="Calibri"/>
    </font>
    <font>
      <b/>
      <sz val="11"/>
      <color theme="1"/>
      <name val="Calibri"/>
    </font>
    <font>
      <sz val="11"/>
      <color theme="1"/>
      <name val="Arial"/>
    </font>
    <font>
      <i/>
      <sz val="11"/>
      <color rgb="FF000000"/>
      <name val="Calibri"/>
    </font>
    <font>
      <sz val="11"/>
      <color rgb="FF000000"/>
      <name val="Calibri"/>
    </font>
    <font>
      <sz val="11"/>
      <name val="Arial"/>
    </font>
    <font>
      <i/>
      <sz val="10"/>
      <color rgb="FF000000"/>
      <name val="Calibri"/>
    </font>
    <font>
      <b/>
      <u/>
      <sz val="11"/>
      <color theme="1"/>
      <name val="Calibri"/>
      <family val="2"/>
      <scheme val="minor"/>
    </font>
    <font>
      <i/>
      <sz val="11"/>
      <color indexed="8"/>
      <name val="Calibri"/>
      <family val="2"/>
      <scheme val="minor"/>
    </font>
    <font>
      <b/>
      <i/>
      <sz val="11"/>
      <color rgb="FFFF0000"/>
      <name val="Aptos"/>
      <family val="2"/>
    </font>
    <font>
      <b/>
      <u/>
      <sz val="12"/>
      <name val="Times New Roman"/>
      <family val="1"/>
    </font>
    <font>
      <sz val="12"/>
      <name val="Times New Roman"/>
      <family val="1"/>
    </font>
    <font>
      <b/>
      <i/>
      <u/>
      <sz val="16"/>
      <name val="Aptos Display"/>
      <family val="2"/>
    </font>
    <font>
      <sz val="11"/>
      <color rgb="FFFF0000"/>
      <name val="Aptos"/>
      <family val="2"/>
    </font>
    <font>
      <b/>
      <sz val="11"/>
      <color rgb="FFFF0000"/>
      <name val="Aptos"/>
      <family val="2"/>
    </font>
    <font>
      <sz val="11"/>
      <color indexed="8"/>
      <name val="Aptos"/>
      <family val="2"/>
    </font>
    <font>
      <b/>
      <sz val="11"/>
      <color indexed="8"/>
      <name val="Aptos"/>
      <family val="2"/>
    </font>
    <font>
      <b/>
      <sz val="11"/>
      <color rgb="FF000000"/>
      <name val="Aptos"/>
      <family val="2"/>
    </font>
    <font>
      <b/>
      <i/>
      <sz val="11"/>
      <color theme="1"/>
      <name val="Aptos"/>
      <family val="2"/>
    </font>
    <font>
      <sz val="10"/>
      <color indexed="8"/>
      <name val="Aptos"/>
      <family val="2"/>
    </font>
    <font>
      <b/>
      <sz val="16"/>
      <name val="Aptos"/>
      <family val="2"/>
    </font>
    <font>
      <i/>
      <sz val="11"/>
      <color theme="1"/>
      <name val="Aptos"/>
      <family val="2"/>
    </font>
    <font>
      <b/>
      <i/>
      <sz val="11"/>
      <color indexed="8"/>
      <name val="Aptos"/>
      <family val="2"/>
    </font>
    <font>
      <b/>
      <sz val="11"/>
      <name val="Calibri"/>
      <family val="2"/>
    </font>
    <font>
      <sz val="11"/>
      <name val="Calibri"/>
      <family val="2"/>
    </font>
    <font>
      <b/>
      <sz val="11"/>
      <color rgb="FF444444"/>
      <name val="Calibri"/>
      <family val="2"/>
    </font>
    <font>
      <u/>
      <sz val="10"/>
      <name val="Arial"/>
      <family val="2"/>
    </font>
    <font>
      <sz val="10"/>
      <color rgb="FF0070C0"/>
      <name val="Arial"/>
      <family val="2"/>
    </font>
    <font>
      <sz val="10"/>
      <color rgb="FF00B050"/>
      <name val="Arial"/>
      <family val="2"/>
    </font>
    <font>
      <i/>
      <sz val="11"/>
      <color rgb="FF00B050"/>
      <name val="Calibri"/>
      <family val="2"/>
    </font>
    <font>
      <u/>
      <sz val="10"/>
      <color rgb="FF00B050"/>
      <name val="Arial"/>
      <family val="2"/>
    </font>
    <font>
      <u/>
      <sz val="10"/>
      <color theme="10"/>
      <name val="Arial"/>
      <family val="2"/>
    </font>
    <font>
      <sz val="10"/>
      <color rgb="FF7030A0"/>
      <name val="Arial"/>
      <family val="2"/>
    </font>
    <font>
      <sz val="11"/>
      <color rgb="FF000000"/>
      <name val="Calibri"/>
      <family val="2"/>
    </font>
    <font>
      <u val="singleAccounting"/>
      <sz val="11"/>
      <name val="Calibri"/>
      <family val="2"/>
    </font>
    <font>
      <b/>
      <sz val="11"/>
      <color rgb="FF000000"/>
      <name val="Calibri"/>
      <family val="2"/>
    </font>
    <font>
      <b/>
      <sz val="10"/>
      <color rgb="FFFF0000"/>
      <name val="Arial"/>
      <family val="2"/>
    </font>
    <font>
      <u/>
      <sz val="11"/>
      <color rgb="FF000000"/>
      <name val="Calibri"/>
      <family val="2"/>
    </font>
    <font>
      <u val="singleAccounting"/>
      <sz val="11"/>
      <color rgb="FFFF0000"/>
      <name val="Calibri"/>
      <family val="2"/>
    </font>
    <font>
      <i/>
      <sz val="10"/>
      <name val="Arial"/>
      <family val="2"/>
    </font>
    <font>
      <b/>
      <u val="singleAccounting"/>
      <sz val="11"/>
      <name val="Calibri"/>
      <family val="2"/>
    </font>
    <font>
      <sz val="11"/>
      <color indexed="12"/>
      <name val="Calibri"/>
      <family val="2"/>
    </font>
    <font>
      <b/>
      <sz val="11"/>
      <color indexed="12"/>
      <name val="Calibri"/>
      <family val="2"/>
    </font>
    <font>
      <sz val="11"/>
      <color rgb="FF000000"/>
      <name val="Aptos"/>
      <family val="2"/>
    </font>
    <font>
      <i/>
      <sz val="11"/>
      <color rgb="FF000000"/>
      <name val="Aptos"/>
      <family val="2"/>
    </font>
    <font>
      <i/>
      <sz val="10"/>
      <color rgb="FF000000"/>
      <name val="Aptos"/>
      <family val="2"/>
    </font>
    <font>
      <sz val="10"/>
      <color rgb="FF000000"/>
      <name val="Aptos"/>
      <family val="2"/>
    </font>
    <font>
      <b/>
      <i/>
      <sz val="10"/>
      <color rgb="FF000000"/>
      <name val="Calibri"/>
      <family val="2"/>
    </font>
    <font>
      <sz val="10"/>
      <color rgb="FF000000"/>
      <name val="Calibri"/>
      <family val="2"/>
    </font>
    <font>
      <b/>
      <i/>
      <sz val="11"/>
      <color rgb="FF000000"/>
      <name val="Calibri"/>
      <family val="2"/>
    </font>
    <font>
      <i/>
      <sz val="9"/>
      <color theme="1"/>
      <name val="Calibri"/>
      <family val="2"/>
      <scheme val="minor"/>
    </font>
    <font>
      <sz val="10"/>
      <color theme="1"/>
      <name val="Calibri"/>
      <family val="2"/>
      <scheme val="minor"/>
    </font>
    <font>
      <i/>
      <sz val="10"/>
      <color indexed="8"/>
      <name val="Calibri"/>
      <family val="2"/>
      <scheme val="minor"/>
    </font>
    <font>
      <sz val="10"/>
      <color indexed="8"/>
      <name val="Calibri"/>
      <family val="2"/>
      <scheme val="minor"/>
    </font>
    <font>
      <sz val="9"/>
      <color indexed="8"/>
      <name val="Calibri"/>
      <family val="2"/>
    </font>
    <font>
      <u/>
      <sz val="9"/>
      <color indexed="8"/>
      <name val="Calibri"/>
      <family val="2"/>
    </font>
    <font>
      <b/>
      <sz val="9"/>
      <color indexed="8"/>
      <name val="Calibri"/>
      <family val="2"/>
    </font>
    <font>
      <b/>
      <sz val="9"/>
      <name val="Calibri"/>
      <family val="2"/>
    </font>
    <font>
      <sz val="9"/>
      <name val="Calibri"/>
      <family val="2"/>
    </font>
    <font>
      <sz val="11"/>
      <name val="Aptos"/>
      <family val="2"/>
    </font>
    <font>
      <u/>
      <sz val="11"/>
      <color indexed="8"/>
      <name val="Calibri"/>
      <family val="2"/>
      <scheme val="minor"/>
    </font>
    <font>
      <sz val="11"/>
      <color indexed="8"/>
      <name val="Calibri"/>
      <family val="2"/>
      <scheme val="minor"/>
    </font>
    <font>
      <i/>
      <sz val="11"/>
      <color rgb="FFFF0000"/>
      <name val="Calibri"/>
      <family val="2"/>
    </font>
    <font>
      <i/>
      <sz val="11"/>
      <color theme="1"/>
      <name val="Calibri"/>
      <family val="2"/>
      <scheme val="minor"/>
    </font>
    <font>
      <b/>
      <i/>
      <sz val="14"/>
      <color indexed="8"/>
      <name val="Calibri"/>
      <family val="2"/>
    </font>
    <font>
      <i/>
      <sz val="11"/>
      <color rgb="FFFF0000"/>
      <name val="Aptos"/>
      <family val="2"/>
    </font>
    <font>
      <i/>
      <sz val="9"/>
      <color theme="1"/>
      <name val="Aptos"/>
      <family val="2"/>
    </font>
    <font>
      <sz val="11"/>
      <color theme="1"/>
      <name val="Aptos ExtraBold"/>
      <family val="2"/>
    </font>
    <font>
      <sz val="9"/>
      <color theme="1"/>
      <name val="Aptos ExtraBold"/>
      <family val="2"/>
    </font>
    <font>
      <sz val="10"/>
      <color theme="0"/>
      <name val="Calibri"/>
      <family val="2"/>
      <scheme val="minor"/>
    </font>
    <font>
      <b/>
      <i/>
      <sz val="10"/>
      <color indexed="8"/>
      <name val="Calibri"/>
      <family val="2"/>
    </font>
  </fonts>
  <fills count="11">
    <fill>
      <patternFill patternType="none"/>
    </fill>
    <fill>
      <patternFill patternType="gray125"/>
    </fill>
    <fill>
      <patternFill patternType="solid">
        <fgColor theme="0" tint="-0.249977111117893"/>
        <bgColor indexed="64"/>
      </patternFill>
    </fill>
    <fill>
      <patternFill patternType="solid">
        <fgColor rgb="FFD9D9D9"/>
        <bgColor rgb="FF000000"/>
      </patternFill>
    </fill>
    <fill>
      <patternFill patternType="solid">
        <fgColor rgb="FFFFFFFF"/>
        <bgColor rgb="FF000000"/>
      </patternFill>
    </fill>
    <fill>
      <patternFill patternType="solid">
        <fgColor theme="0" tint="-0.14999847407452621"/>
        <bgColor indexed="64"/>
      </patternFill>
    </fill>
    <fill>
      <patternFill patternType="solid">
        <fgColor theme="9" tint="0.39997558519241921"/>
        <bgColor indexed="64"/>
      </patternFill>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theme="6" tint="0.39997558519241921"/>
        <bgColor indexed="64"/>
      </patternFill>
    </fill>
  </fills>
  <borders count="16">
    <border>
      <left/>
      <right/>
      <top/>
      <bottom/>
      <diagonal/>
    </border>
    <border>
      <left/>
      <right/>
      <top/>
      <bottom style="thin">
        <color indexed="64"/>
      </bottom>
      <diagonal/>
    </border>
    <border>
      <left/>
      <right/>
      <top/>
      <bottom style="double">
        <color indexed="64"/>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double">
        <color indexed="64"/>
      </bottom>
      <diagonal/>
    </border>
    <border>
      <left/>
      <right/>
      <top style="double">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8"/>
      </left>
      <right style="thin">
        <color indexed="8"/>
      </right>
      <top style="thin">
        <color indexed="8"/>
      </top>
      <bottom style="thin">
        <color indexed="8"/>
      </bottom>
      <diagonal/>
    </border>
  </borders>
  <cellStyleXfs count="12">
    <xf numFmtId="0" fontId="0" fillId="0" borderId="0"/>
    <xf numFmtId="0" fontId="1" fillId="0" borderId="0"/>
    <xf numFmtId="0" fontId="6" fillId="0" borderId="0"/>
    <xf numFmtId="44" fontId="11" fillId="0" borderId="0" applyFont="0" applyFill="0" applyBorder="0" applyAlignment="0" applyProtection="0"/>
    <xf numFmtId="0" fontId="6" fillId="0" borderId="0"/>
    <xf numFmtId="0" fontId="6" fillId="0" borderId="0"/>
    <xf numFmtId="9" fontId="1" fillId="0" borderId="0" applyFont="0" applyFill="0" applyBorder="0" applyAlignment="0" applyProtection="0"/>
    <xf numFmtId="0" fontId="13"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87" fillId="0" borderId="0" applyNumberFormat="0" applyFill="0" applyBorder="0" applyAlignment="0" applyProtection="0"/>
  </cellStyleXfs>
  <cellXfs count="543">
    <xf numFmtId="0" fontId="0" fillId="0" borderId="0" xfId="0"/>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8" fillId="0" borderId="0" xfId="0" applyFont="1"/>
    <xf numFmtId="0" fontId="7" fillId="0" borderId="0" xfId="0" applyFont="1"/>
    <xf numFmtId="0" fontId="10" fillId="0" borderId="0" xfId="0" applyFont="1"/>
    <xf numFmtId="0" fontId="0" fillId="0" borderId="0" xfId="0" applyAlignment="1">
      <alignment horizontal="right"/>
    </xf>
    <xf numFmtId="0" fontId="0" fillId="0" borderId="0" xfId="0" applyAlignment="1">
      <alignment vertical="top"/>
    </xf>
    <xf numFmtId="4" fontId="0" fillId="0" borderId="0" xfId="0" applyNumberFormat="1" applyAlignment="1">
      <alignment horizontal="left"/>
    </xf>
    <xf numFmtId="0" fontId="12" fillId="0" borderId="0" xfId="0" applyFont="1"/>
    <xf numFmtId="0" fontId="16" fillId="0" borderId="0" xfId="0" applyFont="1"/>
    <xf numFmtId="0" fontId="15" fillId="0" borderId="0" xfId="0" applyFont="1"/>
    <xf numFmtId="0" fontId="17" fillId="0" borderId="0" xfId="0" applyFont="1"/>
    <xf numFmtId="0" fontId="18" fillId="0" borderId="0" xfId="0" applyFont="1" applyAlignment="1">
      <alignment horizontal="left" wrapText="1"/>
    </xf>
    <xf numFmtId="0" fontId="18" fillId="0" borderId="0" xfId="0" applyFont="1"/>
    <xf numFmtId="0" fontId="19" fillId="0" borderId="0" xfId="0" applyFont="1"/>
    <xf numFmtId="0" fontId="8" fillId="0" borderId="0" xfId="0" applyFont="1" applyAlignment="1">
      <alignment horizontal="right"/>
    </xf>
    <xf numFmtId="0" fontId="7" fillId="0" borderId="0" xfId="0" applyFont="1" applyAlignment="1">
      <alignment horizontal="left"/>
    </xf>
    <xf numFmtId="0" fontId="8" fillId="0" borderId="0" xfId="0" applyFont="1" applyAlignment="1">
      <alignment horizontal="left"/>
    </xf>
    <xf numFmtId="0" fontId="7" fillId="0" borderId="0" xfId="0" applyFont="1" applyAlignment="1">
      <alignment horizontal="right"/>
    </xf>
    <xf numFmtId="8" fontId="15" fillId="0" borderId="0" xfId="0" applyNumberFormat="1" applyFont="1"/>
    <xf numFmtId="4" fontId="15" fillId="0" borderId="0" xfId="0" applyNumberFormat="1" applyFont="1"/>
    <xf numFmtId="0" fontId="14" fillId="0" borderId="0" xfId="0" applyFont="1"/>
    <xf numFmtId="8" fontId="16" fillId="0" borderId="0" xfId="0" applyNumberFormat="1" applyFont="1"/>
    <xf numFmtId="8" fontId="7" fillId="0" borderId="0" xfId="0" applyNumberFormat="1" applyFont="1"/>
    <xf numFmtId="0" fontId="15" fillId="0" borderId="0" xfId="0" applyFont="1" applyAlignment="1">
      <alignment wrapText="1"/>
    </xf>
    <xf numFmtId="0" fontId="23" fillId="0" borderId="0" xfId="0" applyFont="1"/>
    <xf numFmtId="0" fontId="22" fillId="0" borderId="0" xfId="0" applyFont="1"/>
    <xf numFmtId="0" fontId="22" fillId="0" borderId="0" xfId="0" applyFont="1" applyAlignment="1">
      <alignment horizontal="centerContinuous"/>
    </xf>
    <xf numFmtId="0" fontId="22" fillId="3" borderId="0" xfId="0" applyFont="1" applyFill="1"/>
    <xf numFmtId="8" fontId="22" fillId="3" borderId="0" xfId="0" applyNumberFormat="1" applyFont="1" applyFill="1"/>
    <xf numFmtId="0" fontId="22" fillId="0" borderId="0" xfId="0" applyFont="1" applyAlignment="1">
      <alignment horizontal="right"/>
    </xf>
    <xf numFmtId="0" fontId="24" fillId="0" borderId="0" xfId="0" applyFont="1"/>
    <xf numFmtId="8" fontId="24" fillId="0" borderId="0" xfId="0" applyNumberFormat="1" applyFont="1"/>
    <xf numFmtId="8" fontId="22" fillId="0" borderId="0" xfId="0" applyNumberFormat="1" applyFont="1" applyAlignment="1">
      <alignment horizontal="right"/>
    </xf>
    <xf numFmtId="8" fontId="24" fillId="0" borderId="4" xfId="0" applyNumberFormat="1" applyFont="1" applyBorder="1"/>
    <xf numFmtId="0" fontId="25" fillId="0" borderId="0" xfId="0" applyFont="1"/>
    <xf numFmtId="4" fontId="22" fillId="3" borderId="0" xfId="0" applyNumberFormat="1" applyFont="1" applyFill="1"/>
    <xf numFmtId="8" fontId="22" fillId="0" borderId="0" xfId="0" applyNumberFormat="1" applyFont="1"/>
    <xf numFmtId="8" fontId="26" fillId="0" borderId="4" xfId="0" applyNumberFormat="1" applyFont="1" applyBorder="1"/>
    <xf numFmtId="8" fontId="23" fillId="0" borderId="0" xfId="0" applyNumberFormat="1" applyFont="1"/>
    <xf numFmtId="0" fontId="27" fillId="0" borderId="0" xfId="0" applyFont="1"/>
    <xf numFmtId="0" fontId="31" fillId="0" borderId="0" xfId="0" applyFont="1"/>
    <xf numFmtId="0" fontId="32" fillId="0" borderId="0" xfId="0" applyFont="1"/>
    <xf numFmtId="0" fontId="15" fillId="0" borderId="0" xfId="0" applyFont="1" applyAlignment="1">
      <alignment vertical="center"/>
    </xf>
    <xf numFmtId="8" fontId="1" fillId="0" borderId="0" xfId="0" applyNumberFormat="1" applyFont="1"/>
    <xf numFmtId="0" fontId="1" fillId="0" borderId="0" xfId="0" applyFont="1"/>
    <xf numFmtId="0" fontId="1" fillId="0" borderId="2" xfId="0" applyFont="1" applyBorder="1"/>
    <xf numFmtId="0" fontId="33" fillId="0" borderId="0" xfId="0" applyFont="1"/>
    <xf numFmtId="8" fontId="33" fillId="0" borderId="0" xfId="0" applyNumberFormat="1" applyFont="1"/>
    <xf numFmtId="0" fontId="16" fillId="0" borderId="1" xfId="0" applyFont="1" applyBorder="1" applyAlignment="1">
      <alignment horizontal="right"/>
    </xf>
    <xf numFmtId="0" fontId="26" fillId="0" borderId="0" xfId="0" applyFont="1"/>
    <xf numFmtId="0" fontId="26" fillId="0" borderId="5" xfId="0" applyFont="1" applyBorder="1"/>
    <xf numFmtId="0" fontId="26" fillId="0" borderId="7" xfId="0" applyFont="1" applyBorder="1"/>
    <xf numFmtId="0" fontId="36" fillId="0" borderId="0" xfId="0" applyFont="1"/>
    <xf numFmtId="0" fontId="1" fillId="0" borderId="1" xfId="0" applyFont="1" applyBorder="1"/>
    <xf numFmtId="0" fontId="38" fillId="0" borderId="0" xfId="0" applyFont="1"/>
    <xf numFmtId="0" fontId="40" fillId="0" borderId="0" xfId="0" applyFont="1"/>
    <xf numFmtId="0" fontId="15" fillId="4" borderId="0" xfId="0" applyFont="1" applyFill="1"/>
    <xf numFmtId="0" fontId="40" fillId="0" borderId="0" xfId="0" applyFont="1" applyAlignment="1">
      <alignment wrapText="1"/>
    </xf>
    <xf numFmtId="8" fontId="27" fillId="0" borderId="0" xfId="0" applyNumberFormat="1" applyFont="1"/>
    <xf numFmtId="0" fontId="28" fillId="0" borderId="0" xfId="0" applyFont="1"/>
    <xf numFmtId="8" fontId="43" fillId="0" borderId="0" xfId="0" applyNumberFormat="1" applyFont="1"/>
    <xf numFmtId="0" fontId="43" fillId="0" borderId="0" xfId="0" applyFont="1"/>
    <xf numFmtId="0" fontId="12" fillId="0" borderId="0" xfId="0" applyFont="1" applyAlignment="1">
      <alignment horizontal="left" indent="2"/>
    </xf>
    <xf numFmtId="0" fontId="27" fillId="0" borderId="0" xfId="0" applyFont="1" applyAlignment="1">
      <alignment vertical="top"/>
    </xf>
    <xf numFmtId="8" fontId="0" fillId="0" borderId="0" xfId="0" applyNumberFormat="1"/>
    <xf numFmtId="44" fontId="5" fillId="0" borderId="0" xfId="8" applyFont="1"/>
    <xf numFmtId="8" fontId="5" fillId="0" borderId="0" xfId="0" applyNumberFormat="1" applyFont="1"/>
    <xf numFmtId="164" fontId="3" fillId="0" borderId="0" xfId="0" applyNumberFormat="1" applyFont="1"/>
    <xf numFmtId="0" fontId="39" fillId="0" borderId="0" xfId="0" applyFont="1"/>
    <xf numFmtId="10" fontId="0" fillId="0" borderId="0" xfId="0" applyNumberFormat="1"/>
    <xf numFmtId="0" fontId="44" fillId="0" borderId="0" xfId="0" applyFont="1"/>
    <xf numFmtId="0" fontId="46" fillId="0" borderId="0" xfId="0" applyFont="1"/>
    <xf numFmtId="0" fontId="11" fillId="0" borderId="0" xfId="0" applyFont="1"/>
    <xf numFmtId="0" fontId="0" fillId="0" borderId="0" xfId="0" applyAlignment="1">
      <alignment horizontal="left" vertical="top" wrapText="1"/>
    </xf>
    <xf numFmtId="0" fontId="4" fillId="0" borderId="0" xfId="0" applyFont="1" applyAlignment="1">
      <alignment horizontal="left" wrapText="1"/>
    </xf>
    <xf numFmtId="44" fontId="0" fillId="0" borderId="0" xfId="0" applyNumberFormat="1"/>
    <xf numFmtId="165" fontId="0" fillId="0" borderId="0" xfId="0" applyNumberFormat="1"/>
    <xf numFmtId="8" fontId="3" fillId="0" borderId="0" xfId="0" applyNumberFormat="1" applyFont="1"/>
    <xf numFmtId="8" fontId="46" fillId="0" borderId="0" xfId="0" applyNumberFormat="1" applyFont="1"/>
    <xf numFmtId="0" fontId="47" fillId="0" borderId="0" xfId="1" applyFont="1" applyAlignment="1">
      <alignment horizontal="center"/>
    </xf>
    <xf numFmtId="0" fontId="49" fillId="0" borderId="0" xfId="0" applyFont="1"/>
    <xf numFmtId="0" fontId="49" fillId="0" borderId="0" xfId="0" applyFont="1" applyAlignment="1">
      <alignment vertical="top" wrapText="1"/>
    </xf>
    <xf numFmtId="0" fontId="51" fillId="0" borderId="0" xfId="0" applyFont="1"/>
    <xf numFmtId="0" fontId="52" fillId="0" borderId="0" xfId="0" applyFont="1" applyAlignment="1">
      <alignment horizontal="left" wrapText="1"/>
    </xf>
    <xf numFmtId="0" fontId="52" fillId="0" borderId="0" xfId="0" applyFont="1"/>
    <xf numFmtId="0" fontId="5" fillId="5" borderId="10" xfId="0" applyFont="1" applyFill="1" applyBorder="1"/>
    <xf numFmtId="0" fontId="5" fillId="5" borderId="6" xfId="0" applyFont="1" applyFill="1" applyBorder="1"/>
    <xf numFmtId="0" fontId="5" fillId="5" borderId="11" xfId="0" applyFont="1" applyFill="1" applyBorder="1"/>
    <xf numFmtId="0" fontId="0" fillId="5" borderId="12" xfId="0" applyFill="1" applyBorder="1"/>
    <xf numFmtId="0" fontId="0" fillId="5" borderId="0" xfId="0" applyFill="1"/>
    <xf numFmtId="0" fontId="5" fillId="5" borderId="0" xfId="0" applyFont="1" applyFill="1"/>
    <xf numFmtId="0" fontId="5" fillId="5" borderId="9" xfId="0" applyFont="1" applyFill="1" applyBorder="1"/>
    <xf numFmtId="0" fontId="53" fillId="5" borderId="12" xfId="2" applyFont="1" applyFill="1" applyBorder="1"/>
    <xf numFmtId="0" fontId="6" fillId="5" borderId="12" xfId="2" applyFill="1" applyBorder="1"/>
    <xf numFmtId="0" fontId="6" fillId="5" borderId="0" xfId="2" applyFill="1"/>
    <xf numFmtId="166" fontId="6" fillId="5" borderId="0" xfId="2" applyNumberFormat="1" applyFill="1" applyAlignment="1">
      <alignment horizontal="right"/>
    </xf>
    <xf numFmtId="0" fontId="53" fillId="5" borderId="0" xfId="2" applyFont="1" applyFill="1"/>
    <xf numFmtId="0" fontId="6" fillId="5" borderId="9" xfId="2" applyFill="1" applyBorder="1"/>
    <xf numFmtId="167" fontId="6" fillId="5" borderId="0" xfId="2" applyNumberFormat="1" applyFill="1"/>
    <xf numFmtId="0" fontId="0" fillId="5" borderId="0" xfId="2" applyFont="1" applyFill="1"/>
    <xf numFmtId="0" fontId="41" fillId="5" borderId="12" xfId="2" applyFont="1" applyFill="1" applyBorder="1"/>
    <xf numFmtId="0" fontId="41" fillId="5" borderId="0" xfId="2" applyFont="1" applyFill="1"/>
    <xf numFmtId="166" fontId="41" fillId="5" borderId="0" xfId="2" applyNumberFormat="1" applyFont="1" applyFill="1" applyAlignment="1">
      <alignment horizontal="right"/>
    </xf>
    <xf numFmtId="166" fontId="6" fillId="5" borderId="0" xfId="2" applyNumberFormat="1" applyFill="1" applyAlignment="1">
      <alignment horizontal="center"/>
    </xf>
    <xf numFmtId="0" fontId="6" fillId="5" borderId="0" xfId="2" applyFill="1" applyAlignment="1">
      <alignment horizontal="center"/>
    </xf>
    <xf numFmtId="168" fontId="6" fillId="5" borderId="0" xfId="2" applyNumberFormat="1" applyFill="1" applyAlignment="1">
      <alignment horizontal="center"/>
    </xf>
    <xf numFmtId="0" fontId="6" fillId="5" borderId="0" xfId="2" quotePrefix="1" applyFill="1" applyAlignment="1">
      <alignment horizontal="center"/>
    </xf>
    <xf numFmtId="166" fontId="6" fillId="5" borderId="9" xfId="2" applyNumberFormat="1" applyFill="1" applyBorder="1" applyAlignment="1">
      <alignment horizontal="center"/>
    </xf>
    <xf numFmtId="0" fontId="41" fillId="5" borderId="13" xfId="2" applyFont="1" applyFill="1" applyBorder="1"/>
    <xf numFmtId="0" fontId="41" fillId="5" borderId="1" xfId="2" applyFont="1" applyFill="1" applyBorder="1"/>
    <xf numFmtId="166" fontId="41" fillId="5" borderId="1" xfId="2" applyNumberFormat="1" applyFont="1" applyFill="1" applyBorder="1" applyAlignment="1">
      <alignment horizontal="right"/>
    </xf>
    <xf numFmtId="0" fontId="6" fillId="5" borderId="1" xfId="2" applyFill="1" applyBorder="1"/>
    <xf numFmtId="166" fontId="41" fillId="5" borderId="1" xfId="2" applyNumberFormat="1" applyFont="1" applyFill="1" applyBorder="1" applyAlignment="1">
      <alignment horizontal="center"/>
    </xf>
    <xf numFmtId="168" fontId="42" fillId="5" borderId="1" xfId="2" applyNumberFormat="1" applyFont="1" applyFill="1" applyBorder="1"/>
    <xf numFmtId="0" fontId="6" fillId="5" borderId="14" xfId="2" applyFill="1" applyBorder="1"/>
    <xf numFmtId="0" fontId="42" fillId="5" borderId="1" xfId="2" applyFont="1" applyFill="1" applyBorder="1"/>
    <xf numFmtId="0" fontId="0" fillId="5" borderId="11" xfId="0" applyFill="1" applyBorder="1"/>
    <xf numFmtId="0" fontId="0" fillId="5" borderId="9" xfId="0" applyFill="1" applyBorder="1"/>
    <xf numFmtId="166" fontId="6" fillId="5" borderId="0" xfId="2" applyNumberFormat="1" applyFill="1"/>
    <xf numFmtId="0" fontId="6" fillId="0" borderId="0" xfId="2"/>
    <xf numFmtId="166" fontId="41" fillId="5" borderId="0" xfId="2" applyNumberFormat="1" applyFont="1" applyFill="1"/>
    <xf numFmtId="166" fontId="41" fillId="5" borderId="1" xfId="2" applyNumberFormat="1" applyFont="1" applyFill="1" applyBorder="1"/>
    <xf numFmtId="0" fontId="0" fillId="5" borderId="1" xfId="0" applyFill="1" applyBorder="1"/>
    <xf numFmtId="0" fontId="0" fillId="5" borderId="14" xfId="0" applyFill="1" applyBorder="1"/>
    <xf numFmtId="0" fontId="5" fillId="5" borderId="0" xfId="2" applyFont="1" applyFill="1"/>
    <xf numFmtId="0" fontId="42" fillId="5" borderId="12" xfId="2" applyFont="1" applyFill="1" applyBorder="1"/>
    <xf numFmtId="0" fontId="42" fillId="5" borderId="0" xfId="2" applyFont="1" applyFill="1"/>
    <xf numFmtId="0" fontId="5" fillId="5" borderId="1" xfId="2" applyFont="1" applyFill="1" applyBorder="1"/>
    <xf numFmtId="0" fontId="56" fillId="0" borderId="0" xfId="0" applyFont="1"/>
    <xf numFmtId="0" fontId="56" fillId="0" borderId="0" xfId="0" applyFont="1" applyAlignment="1">
      <alignment horizontal="left"/>
    </xf>
    <xf numFmtId="0" fontId="56" fillId="0" borderId="0" xfId="0" applyFont="1" applyAlignment="1">
      <alignment vertical="top"/>
    </xf>
    <xf numFmtId="166" fontId="56" fillId="0" borderId="0" xfId="0" applyNumberFormat="1" applyFont="1"/>
    <xf numFmtId="0" fontId="56" fillId="0" borderId="0" xfId="0" applyFont="1" applyAlignment="1">
      <alignment horizontal="center"/>
    </xf>
    <xf numFmtId="0" fontId="58" fillId="0" borderId="0" xfId="0" applyFont="1"/>
    <xf numFmtId="166" fontId="58" fillId="0" borderId="0" xfId="0" applyNumberFormat="1" applyFont="1"/>
    <xf numFmtId="166" fontId="56" fillId="0" borderId="0" xfId="0" applyNumberFormat="1" applyFont="1" applyAlignment="1">
      <alignment horizontal="left"/>
    </xf>
    <xf numFmtId="0" fontId="59" fillId="0" borderId="0" xfId="0" applyFont="1"/>
    <xf numFmtId="0" fontId="60" fillId="0" borderId="0" xfId="0" applyFont="1"/>
    <xf numFmtId="0" fontId="61" fillId="0" borderId="0" xfId="0" applyFont="1"/>
    <xf numFmtId="166" fontId="56" fillId="0" borderId="0" xfId="0" applyNumberFormat="1" applyFont="1" applyAlignment="1">
      <alignment horizontal="center"/>
    </xf>
    <xf numFmtId="0" fontId="62" fillId="0" borderId="0" xfId="0" applyFont="1"/>
    <xf numFmtId="0" fontId="0" fillId="6" borderId="0" xfId="0" applyFill="1"/>
    <xf numFmtId="0" fontId="6" fillId="0" borderId="0" xfId="0" applyFont="1"/>
    <xf numFmtId="169" fontId="8" fillId="0" borderId="0" xfId="0" applyNumberFormat="1" applyFont="1"/>
    <xf numFmtId="169" fontId="8" fillId="0" borderId="1" xfId="0" applyNumberFormat="1" applyFont="1" applyBorder="1"/>
    <xf numFmtId="170" fontId="8" fillId="0" borderId="0" xfId="0" applyNumberFormat="1" applyFont="1"/>
    <xf numFmtId="167" fontId="8" fillId="0" borderId="1" xfId="0" applyNumberFormat="1" applyFont="1" applyBorder="1"/>
    <xf numFmtId="166" fontId="8" fillId="0" borderId="0" xfId="0" applyNumberFormat="1" applyFont="1"/>
    <xf numFmtId="169" fontId="8" fillId="0" borderId="2" xfId="0" applyNumberFormat="1" applyFont="1" applyBorder="1"/>
    <xf numFmtId="169" fontId="7" fillId="0" borderId="2" xfId="0" applyNumberFormat="1" applyFont="1" applyBorder="1"/>
    <xf numFmtId="170" fontId="8" fillId="0" borderId="1" xfId="0" applyNumberFormat="1" applyFont="1" applyBorder="1"/>
    <xf numFmtId="9" fontId="8" fillId="0" borderId="0" xfId="10" applyFont="1"/>
    <xf numFmtId="166" fontId="6" fillId="0" borderId="0" xfId="0" applyNumberFormat="1" applyFont="1"/>
    <xf numFmtId="169" fontId="7" fillId="0" borderId="0" xfId="0" applyNumberFormat="1" applyFont="1"/>
    <xf numFmtId="171" fontId="8" fillId="0" borderId="1" xfId="0" applyNumberFormat="1" applyFont="1" applyBorder="1"/>
    <xf numFmtId="6" fontId="8" fillId="0" borderId="0" xfId="0" applyNumberFormat="1" applyFont="1" applyAlignment="1">
      <alignment horizontal="right"/>
    </xf>
    <xf numFmtId="0" fontId="64" fillId="0" borderId="0" xfId="0" applyFont="1"/>
    <xf numFmtId="6" fontId="5" fillId="0" borderId="0" xfId="0" applyNumberFormat="1" applyFont="1"/>
    <xf numFmtId="8" fontId="6" fillId="0" borderId="0" xfId="0" applyNumberFormat="1" applyFont="1"/>
    <xf numFmtId="6" fontId="6" fillId="0" borderId="0" xfId="0" applyNumberFormat="1" applyFont="1"/>
    <xf numFmtId="6" fontId="6" fillId="0" borderId="1" xfId="0" applyNumberFormat="1" applyFont="1" applyBorder="1"/>
    <xf numFmtId="0" fontId="6" fillId="0" borderId="0" xfId="0" applyFont="1" applyAlignment="1">
      <alignment horizontal="right"/>
    </xf>
    <xf numFmtId="167" fontId="6" fillId="0" borderId="1" xfId="0" applyNumberFormat="1" applyFont="1" applyBorder="1"/>
    <xf numFmtId="6" fontId="0" fillId="0" borderId="2" xfId="0" applyNumberFormat="1" applyBorder="1"/>
    <xf numFmtId="6" fontId="5" fillId="0" borderId="2" xfId="0" applyNumberFormat="1" applyFont="1" applyBorder="1"/>
    <xf numFmtId="169" fontId="6" fillId="0" borderId="0" xfId="0" applyNumberFormat="1" applyFont="1"/>
    <xf numFmtId="169" fontId="6" fillId="0" borderId="1" xfId="0" applyNumberFormat="1" applyFont="1" applyBorder="1"/>
    <xf numFmtId="0" fontId="6" fillId="0" borderId="0" xfId="0" applyFont="1" applyAlignment="1">
      <alignment horizontal="center"/>
    </xf>
    <xf numFmtId="0" fontId="6" fillId="0" borderId="1" xfId="0" applyFont="1" applyBorder="1"/>
    <xf numFmtId="0" fontId="49" fillId="0" borderId="0" xfId="0" applyFont="1" applyAlignment="1">
      <alignment horizontal="left"/>
    </xf>
    <xf numFmtId="0" fontId="51" fillId="0" borderId="0" xfId="0" applyFont="1" applyAlignment="1">
      <alignment horizontal="left"/>
    </xf>
    <xf numFmtId="8" fontId="49" fillId="0" borderId="0" xfId="0" applyNumberFormat="1" applyFont="1" applyAlignment="1">
      <alignment horizontal="left"/>
    </xf>
    <xf numFmtId="3" fontId="0" fillId="0" borderId="0" xfId="0" applyNumberFormat="1"/>
    <xf numFmtId="3" fontId="11" fillId="0" borderId="0" xfId="0" applyNumberFormat="1" applyFont="1"/>
    <xf numFmtId="0" fontId="49" fillId="0" borderId="0" xfId="4" applyFont="1"/>
    <xf numFmtId="166" fontId="49" fillId="0" borderId="0" xfId="4" applyNumberFormat="1" applyFont="1"/>
    <xf numFmtId="0" fontId="49" fillId="0" borderId="4" xfId="4" applyFont="1" applyBorder="1" applyAlignment="1">
      <alignment horizontal="right"/>
    </xf>
    <xf numFmtId="0" fontId="49" fillId="0" borderId="0" xfId="4" applyFont="1" applyAlignment="1">
      <alignment horizontal="center"/>
    </xf>
    <xf numFmtId="0" fontId="49" fillId="0" borderId="4" xfId="4" applyFont="1" applyBorder="1"/>
    <xf numFmtId="166" fontId="49" fillId="0" borderId="0" xfId="4" applyNumberFormat="1" applyFont="1" applyAlignment="1">
      <alignment horizontal="center"/>
    </xf>
    <xf numFmtId="0" fontId="66" fillId="0" borderId="0" xfId="1" applyFont="1" applyAlignment="1">
      <alignment horizontal="left" vertical="center"/>
    </xf>
    <xf numFmtId="0" fontId="67" fillId="0" borderId="0" xfId="1" applyFont="1" applyAlignment="1">
      <alignment horizontal="left" vertical="center"/>
    </xf>
    <xf numFmtId="172" fontId="0" fillId="0" borderId="0" xfId="9" applyNumberFormat="1" applyFont="1"/>
    <xf numFmtId="8" fontId="67" fillId="0" borderId="0" xfId="1" applyNumberFormat="1" applyFont="1" applyAlignment="1">
      <alignment horizontal="left" vertical="center" wrapText="1"/>
    </xf>
    <xf numFmtId="8" fontId="67" fillId="0" borderId="0" xfId="1" applyNumberFormat="1" applyFont="1" applyAlignment="1">
      <alignment horizontal="left" vertical="center"/>
    </xf>
    <xf numFmtId="0" fontId="50" fillId="0" borderId="0" xfId="0" applyFont="1"/>
    <xf numFmtId="4" fontId="49" fillId="0" borderId="0" xfId="0" applyNumberFormat="1" applyFont="1"/>
    <xf numFmtId="2" fontId="49" fillId="0" borderId="0" xfId="0" applyNumberFormat="1" applyFont="1"/>
    <xf numFmtId="2" fontId="50" fillId="0" borderId="0" xfId="0" applyNumberFormat="1" applyFont="1"/>
    <xf numFmtId="0" fontId="69" fillId="0" borderId="0" xfId="0" applyFont="1"/>
    <xf numFmtId="0" fontId="70" fillId="0" borderId="0" xfId="0" applyFont="1"/>
    <xf numFmtId="2" fontId="70" fillId="0" borderId="0" xfId="0" applyNumberFormat="1" applyFont="1"/>
    <xf numFmtId="0" fontId="71" fillId="0" borderId="0" xfId="0" applyFont="1"/>
    <xf numFmtId="0" fontId="72" fillId="0" borderId="0" xfId="0" applyFont="1"/>
    <xf numFmtId="4" fontId="71" fillId="0" borderId="0" xfId="0" applyNumberFormat="1" applyFont="1"/>
    <xf numFmtId="3" fontId="49" fillId="0" borderId="0" xfId="0" applyNumberFormat="1" applyFont="1"/>
    <xf numFmtId="0" fontId="74" fillId="0" borderId="0" xfId="0" applyFont="1"/>
    <xf numFmtId="0" fontId="75" fillId="0" borderId="0" xfId="0" applyFont="1"/>
    <xf numFmtId="2" fontId="51" fillId="0" borderId="0" xfId="0" applyNumberFormat="1" applyFont="1"/>
    <xf numFmtId="0" fontId="76" fillId="0" borderId="0" xfId="1" applyFont="1" applyAlignment="1">
      <alignment horizontal="center"/>
    </xf>
    <xf numFmtId="0" fontId="77" fillId="0" borderId="0" xfId="0" applyFont="1"/>
    <xf numFmtId="167" fontId="49" fillId="0" borderId="0" xfId="10" applyNumberFormat="1" applyFont="1"/>
    <xf numFmtId="166" fontId="49" fillId="0" borderId="0" xfId="0" applyNumberFormat="1" applyFont="1"/>
    <xf numFmtId="166" fontId="77" fillId="0" borderId="0" xfId="0" applyNumberFormat="1" applyFont="1"/>
    <xf numFmtId="166" fontId="74" fillId="0" borderId="0" xfId="0" applyNumberFormat="1" applyFont="1"/>
    <xf numFmtId="166" fontId="78" fillId="0" borderId="0" xfId="0" applyNumberFormat="1" applyFont="1"/>
    <xf numFmtId="8" fontId="5" fillId="0" borderId="0" xfId="0" applyNumberFormat="1" applyFont="1" applyAlignment="1">
      <alignment horizontal="right" indent="1"/>
    </xf>
    <xf numFmtId="0" fontId="5" fillId="0" borderId="0" xfId="0" applyFont="1" applyAlignment="1">
      <alignment horizontal="right"/>
    </xf>
    <xf numFmtId="8" fontId="5" fillId="0" borderId="0" xfId="0" applyNumberFormat="1" applyFont="1" applyAlignment="1">
      <alignment horizontal="right"/>
    </xf>
    <xf numFmtId="3" fontId="5" fillId="0" borderId="0" xfId="0" applyNumberFormat="1" applyFont="1"/>
    <xf numFmtId="10" fontId="5" fillId="0" borderId="0" xfId="0" applyNumberFormat="1" applyFont="1" applyAlignment="1">
      <alignment horizontal="right"/>
    </xf>
    <xf numFmtId="0" fontId="80" fillId="0" borderId="0" xfId="0" applyFont="1" applyAlignment="1">
      <alignment horizontal="right"/>
    </xf>
    <xf numFmtId="0" fontId="79" fillId="0" borderId="0" xfId="0" applyFont="1" applyAlignment="1">
      <alignment horizontal="right"/>
    </xf>
    <xf numFmtId="2" fontId="79" fillId="0" borderId="0" xfId="0" applyNumberFormat="1" applyFont="1" applyAlignment="1">
      <alignment horizontal="right"/>
    </xf>
    <xf numFmtId="0" fontId="79" fillId="0" borderId="0" xfId="0" applyFont="1"/>
    <xf numFmtId="2" fontId="79" fillId="0" borderId="0" xfId="0" applyNumberFormat="1" applyFont="1" applyAlignment="1">
      <alignment horizontal="left"/>
    </xf>
    <xf numFmtId="0" fontId="80" fillId="0" borderId="0" xfId="0" applyFont="1"/>
    <xf numFmtId="2" fontId="80" fillId="0" borderId="0" xfId="0" applyNumberFormat="1" applyFont="1" applyAlignment="1">
      <alignment horizontal="right"/>
    </xf>
    <xf numFmtId="0" fontId="81" fillId="0" borderId="0" xfId="0" applyFont="1"/>
    <xf numFmtId="0" fontId="83" fillId="0" borderId="0" xfId="0" applyFont="1"/>
    <xf numFmtId="0" fontId="84" fillId="0" borderId="0" xfId="0" applyFont="1"/>
    <xf numFmtId="0" fontId="85" fillId="0" borderId="0" xfId="0" applyFont="1" applyAlignment="1">
      <alignment horizontal="left"/>
    </xf>
    <xf numFmtId="0" fontId="85" fillId="0" borderId="0" xfId="0" applyFont="1"/>
    <xf numFmtId="0" fontId="86" fillId="0" borderId="0" xfId="0" applyFont="1" applyAlignment="1">
      <alignment horizontal="left"/>
    </xf>
    <xf numFmtId="0" fontId="86" fillId="0" borderId="0" xfId="11" applyNumberFormat="1" applyFont="1"/>
    <xf numFmtId="0" fontId="89" fillId="0" borderId="0" xfId="0" applyFont="1"/>
    <xf numFmtId="0" fontId="79" fillId="0" borderId="0" xfId="0" applyFont="1" applyAlignment="1">
      <alignment horizontal="center"/>
    </xf>
    <xf numFmtId="8" fontId="89" fillId="0" borderId="0" xfId="0" applyNumberFormat="1" applyFont="1"/>
    <xf numFmtId="1" fontId="11" fillId="0" borderId="0" xfId="0" applyNumberFormat="1" applyFont="1"/>
    <xf numFmtId="173" fontId="11" fillId="0" borderId="0" xfId="0" applyNumberFormat="1" applyFont="1"/>
    <xf numFmtId="0" fontId="90" fillId="0" borderId="0" xfId="0" applyFont="1"/>
    <xf numFmtId="10" fontId="90" fillId="0" borderId="0" xfId="0" applyNumberFormat="1" applyFont="1"/>
    <xf numFmtId="10" fontId="1" fillId="0" borderId="0" xfId="0" applyNumberFormat="1" applyFont="1"/>
    <xf numFmtId="166" fontId="33" fillId="0" borderId="6" xfId="0" applyNumberFormat="1" applyFont="1" applyBorder="1"/>
    <xf numFmtId="0" fontId="91" fillId="0" borderId="0" xfId="0" applyFont="1"/>
    <xf numFmtId="8" fontId="91" fillId="0" borderId="0" xfId="0" applyNumberFormat="1" applyFont="1"/>
    <xf numFmtId="0" fontId="0" fillId="0" borderId="1" xfId="0" applyBorder="1"/>
    <xf numFmtId="166" fontId="5" fillId="0" borderId="1" xfId="0" applyNumberFormat="1" applyFont="1" applyBorder="1"/>
    <xf numFmtId="166" fontId="0" fillId="0" borderId="0" xfId="0" applyNumberFormat="1"/>
    <xf numFmtId="166" fontId="33" fillId="0" borderId="0" xfId="0" applyNumberFormat="1" applyFont="1"/>
    <xf numFmtId="0" fontId="82" fillId="0" borderId="0" xfId="0" applyFont="1"/>
    <xf numFmtId="0" fontId="1" fillId="0" borderId="1" xfId="0" applyFont="1" applyBorder="1" applyAlignment="1">
      <alignment horizontal="right"/>
    </xf>
    <xf numFmtId="8" fontId="92" fillId="0" borderId="0" xfId="0" applyNumberFormat="1" applyFont="1" applyAlignment="1">
      <alignment horizontal="right"/>
    </xf>
    <xf numFmtId="8" fontId="33" fillId="0" borderId="1" xfId="0" applyNumberFormat="1" applyFont="1" applyBorder="1" applyAlignment="1">
      <alignment horizontal="right"/>
    </xf>
    <xf numFmtId="0" fontId="45" fillId="0" borderId="0" xfId="0" applyFont="1"/>
    <xf numFmtId="0" fontId="93" fillId="0" borderId="0" xfId="0" applyFont="1"/>
    <xf numFmtId="8" fontId="33" fillId="0" borderId="5" xfId="0" applyNumberFormat="1" applyFont="1" applyBorder="1"/>
    <xf numFmtId="166" fontId="5" fillId="0" borderId="0" xfId="0" applyNumberFormat="1" applyFont="1"/>
    <xf numFmtId="3" fontId="33" fillId="0" borderId="0" xfId="0" applyNumberFormat="1" applyFont="1"/>
    <xf numFmtId="8" fontId="35" fillId="0" borderId="0" xfId="0" applyNumberFormat="1" applyFont="1"/>
    <xf numFmtId="8" fontId="92" fillId="0" borderId="6" xfId="0" applyNumberFormat="1" applyFont="1" applyBorder="1" applyAlignment="1">
      <alignment horizontal="right"/>
    </xf>
    <xf numFmtId="0" fontId="94" fillId="0" borderId="0" xfId="0" applyFont="1"/>
    <xf numFmtId="8" fontId="35" fillId="0" borderId="6" xfId="0" applyNumberFormat="1" applyFont="1" applyBorder="1"/>
    <xf numFmtId="0" fontId="95" fillId="0" borderId="0" xfId="0" applyFont="1"/>
    <xf numFmtId="0" fontId="13" fillId="0" borderId="0" xfId="7"/>
    <xf numFmtId="166" fontId="5" fillId="0" borderId="0" xfId="7" applyNumberFormat="1" applyFont="1"/>
    <xf numFmtId="166" fontId="63" fillId="0" borderId="1" xfId="7" applyNumberFormat="1" applyFont="1" applyBorder="1"/>
    <xf numFmtId="8" fontId="33" fillId="0" borderId="6" xfId="0" applyNumberFormat="1" applyFont="1" applyBorder="1"/>
    <xf numFmtId="166" fontId="50" fillId="0" borderId="0" xfId="0" applyNumberFormat="1" applyFont="1"/>
    <xf numFmtId="1" fontId="49" fillId="0" borderId="0" xfId="10" applyNumberFormat="1" applyFont="1"/>
    <xf numFmtId="166" fontId="49" fillId="0" borderId="0" xfId="10" applyNumberFormat="1" applyFont="1"/>
    <xf numFmtId="44" fontId="11" fillId="0" borderId="0" xfId="8" applyFont="1"/>
    <xf numFmtId="40" fontId="11" fillId="0" borderId="0" xfId="0" applyNumberFormat="1" applyFont="1"/>
    <xf numFmtId="40" fontId="90" fillId="0" borderId="0" xfId="8" applyNumberFormat="1" applyFont="1"/>
    <xf numFmtId="0" fontId="11" fillId="0" borderId="0" xfId="0" quotePrefix="1" applyFont="1"/>
    <xf numFmtId="174" fontId="90" fillId="0" borderId="0" xfId="0" applyNumberFormat="1" applyFont="1"/>
    <xf numFmtId="44" fontId="79" fillId="0" borderId="0" xfId="8" applyFont="1"/>
    <xf numFmtId="168" fontId="11" fillId="0" borderId="0" xfId="0" applyNumberFormat="1" applyFont="1"/>
    <xf numFmtId="175" fontId="90" fillId="0" borderId="0" xfId="0" applyNumberFormat="1" applyFont="1"/>
    <xf numFmtId="44" fontId="96" fillId="0" borderId="0" xfId="8" applyFont="1"/>
    <xf numFmtId="0" fontId="97" fillId="0" borderId="0" xfId="0" applyFont="1"/>
    <xf numFmtId="44" fontId="98" fillId="0" borderId="0" xfId="8" applyFont="1"/>
    <xf numFmtId="0" fontId="98" fillId="0" borderId="0" xfId="0" applyFont="1" applyAlignment="1">
      <alignment horizontal="right"/>
    </xf>
    <xf numFmtId="40" fontId="79" fillId="0" borderId="0" xfId="0" applyNumberFormat="1" applyFont="1"/>
    <xf numFmtId="40" fontId="80" fillId="0" borderId="0" xfId="0" applyNumberFormat="1" applyFont="1"/>
    <xf numFmtId="2" fontId="11" fillId="0" borderId="0" xfId="8" applyNumberFormat="1" applyFont="1"/>
    <xf numFmtId="2" fontId="90" fillId="0" borderId="0" xfId="8" applyNumberFormat="1" applyFont="1"/>
    <xf numFmtId="40" fontId="90" fillId="0" borderId="0" xfId="0" applyNumberFormat="1" applyFont="1"/>
    <xf numFmtId="44" fontId="90" fillId="0" borderId="0" xfId="8" applyFont="1"/>
    <xf numFmtId="44" fontId="94" fillId="0" borderId="0" xfId="8" applyFont="1"/>
    <xf numFmtId="0" fontId="79" fillId="0" borderId="0" xfId="0" applyFont="1" applyAlignment="1">
      <alignment horizontal="left"/>
    </xf>
    <xf numFmtId="167" fontId="22" fillId="0" borderId="0" xfId="0" applyNumberFormat="1" applyFont="1" applyAlignment="1">
      <alignment horizontal="right"/>
    </xf>
    <xf numFmtId="4" fontId="22" fillId="0" borderId="0" xfId="0" applyNumberFormat="1" applyFont="1"/>
    <xf numFmtId="44" fontId="5" fillId="0" borderId="0" xfId="0" applyNumberFormat="1" applyFont="1"/>
    <xf numFmtId="44" fontId="3" fillId="0" borderId="0" xfId="0" applyNumberFormat="1" applyFont="1"/>
    <xf numFmtId="44" fontId="39" fillId="0" borderId="0" xfId="0" applyNumberFormat="1" applyFont="1"/>
    <xf numFmtId="0" fontId="47" fillId="0" borderId="0" xfId="0" applyFont="1" applyAlignment="1">
      <alignment horizontal="center"/>
    </xf>
    <xf numFmtId="0" fontId="99" fillId="0" borderId="0" xfId="0" applyFont="1"/>
    <xf numFmtId="0" fontId="99" fillId="0" borderId="0" xfId="0" applyFont="1" applyAlignment="1">
      <alignment vertical="top" wrapText="1"/>
    </xf>
    <xf numFmtId="0" fontId="100" fillId="0" borderId="0" xfId="0" applyFont="1"/>
    <xf numFmtId="6" fontId="99" fillId="0" borderId="0" xfId="0" applyNumberFormat="1" applyFont="1"/>
    <xf numFmtId="8" fontId="99" fillId="0" borderId="0" xfId="0" applyNumberFormat="1" applyFont="1"/>
    <xf numFmtId="0" fontId="102" fillId="0" borderId="0" xfId="0" applyFont="1"/>
    <xf numFmtId="0" fontId="101" fillId="0" borderId="0" xfId="0" applyFont="1"/>
    <xf numFmtId="6" fontId="102" fillId="0" borderId="0" xfId="0" applyNumberFormat="1" applyFont="1"/>
    <xf numFmtId="44" fontId="49" fillId="0" borderId="0" xfId="8" applyFont="1"/>
    <xf numFmtId="44" fontId="49" fillId="0" borderId="1" xfId="8" applyFont="1" applyBorder="1"/>
    <xf numFmtId="167" fontId="49" fillId="0" borderId="2" xfId="0" applyNumberFormat="1" applyFont="1" applyBorder="1"/>
    <xf numFmtId="44" fontId="71" fillId="0" borderId="0" xfId="8" applyFont="1"/>
    <xf numFmtId="44" fontId="51" fillId="0" borderId="1" xfId="8" applyFont="1" applyBorder="1"/>
    <xf numFmtId="44" fontId="49" fillId="0" borderId="0" xfId="8" applyFont="1" applyBorder="1"/>
    <xf numFmtId="44" fontId="71" fillId="0" borderId="0" xfId="8" applyFont="1" applyBorder="1"/>
    <xf numFmtId="44" fontId="49" fillId="0" borderId="6" xfId="0" applyNumberFormat="1" applyFont="1" applyBorder="1"/>
    <xf numFmtId="0" fontId="49" fillId="0" borderId="6" xfId="0" applyFont="1" applyBorder="1"/>
    <xf numFmtId="0" fontId="103" fillId="0" borderId="0" xfId="0" applyFont="1"/>
    <xf numFmtId="0" fontId="47" fillId="0" borderId="0" xfId="1" applyFont="1"/>
    <xf numFmtId="0" fontId="5" fillId="7" borderId="0" xfId="0" applyFont="1" applyFill="1"/>
    <xf numFmtId="0" fontId="0" fillId="7" borderId="0" xfId="0" applyFill="1"/>
    <xf numFmtId="0" fontId="52" fillId="0" borderId="0" xfId="0" applyFont="1" applyAlignment="1">
      <alignment wrapText="1"/>
    </xf>
    <xf numFmtId="2" fontId="0" fillId="0" borderId="0" xfId="0" applyNumberFormat="1"/>
    <xf numFmtId="166" fontId="20" fillId="0" borderId="0" xfId="0" applyNumberFormat="1" applyFont="1"/>
    <xf numFmtId="171" fontId="0" fillId="0" borderId="0" xfId="0" applyNumberFormat="1"/>
    <xf numFmtId="176" fontId="0" fillId="0" borderId="0" xfId="0" applyNumberFormat="1"/>
    <xf numFmtId="176" fontId="5" fillId="0" borderId="0" xfId="0" applyNumberFormat="1" applyFont="1"/>
    <xf numFmtId="8" fontId="49" fillId="0" borderId="0" xfId="0" applyNumberFormat="1" applyFont="1"/>
    <xf numFmtId="8" fontId="51" fillId="0" borderId="0" xfId="0" applyNumberFormat="1" applyFont="1"/>
    <xf numFmtId="8" fontId="52" fillId="0" borderId="0" xfId="0" applyNumberFormat="1" applyFont="1"/>
    <xf numFmtId="8" fontId="0" fillId="0" borderId="0" xfId="0" applyNumberFormat="1" applyAlignment="1">
      <alignment horizontal="right"/>
    </xf>
    <xf numFmtId="1" fontId="0" fillId="0" borderId="0" xfId="0" applyNumberFormat="1" applyAlignment="1">
      <alignment horizontal="center"/>
    </xf>
    <xf numFmtId="0" fontId="0" fillId="0" borderId="0" xfId="0" applyAlignment="1">
      <alignment horizontal="center"/>
    </xf>
    <xf numFmtId="0" fontId="105" fillId="0" borderId="0" xfId="0" applyFont="1"/>
    <xf numFmtId="0" fontId="29" fillId="0" borderId="0" xfId="0" applyFont="1"/>
    <xf numFmtId="0" fontId="64" fillId="0" borderId="0" xfId="2" applyFont="1"/>
    <xf numFmtId="44" fontId="64" fillId="0" borderId="0" xfId="8" applyFont="1" applyAlignment="1">
      <alignment horizontal="right"/>
    </xf>
    <xf numFmtId="10" fontId="64" fillId="0" borderId="0" xfId="2" quotePrefix="1" applyNumberFormat="1" applyFont="1" applyAlignment="1">
      <alignment horizontal="right"/>
    </xf>
    <xf numFmtId="44" fontId="64" fillId="0" borderId="6" xfId="8" applyFont="1" applyBorder="1" applyAlignment="1">
      <alignment horizontal="right"/>
    </xf>
    <xf numFmtId="44" fontId="6" fillId="0" borderId="0" xfId="8" applyFont="1" applyAlignment="1">
      <alignment horizontal="right"/>
    </xf>
    <xf numFmtId="0" fontId="6" fillId="0" borderId="0" xfId="5"/>
    <xf numFmtId="0" fontId="6" fillId="0" borderId="0" xfId="4"/>
    <xf numFmtId="0" fontId="6" fillId="0" borderId="0" xfId="4" applyAlignment="1">
      <alignment horizontal="right"/>
    </xf>
    <xf numFmtId="44" fontId="6" fillId="0" borderId="6" xfId="8" applyFont="1" applyBorder="1" applyAlignment="1">
      <alignment horizontal="right"/>
    </xf>
    <xf numFmtId="0" fontId="5" fillId="0" borderId="0" xfId="2" applyFont="1"/>
    <xf numFmtId="0" fontId="8" fillId="0" borderId="0" xfId="2" applyFont="1"/>
    <xf numFmtId="0" fontId="107" fillId="0" borderId="0" xfId="5" applyFont="1"/>
    <xf numFmtId="0" fontId="108" fillId="0" borderId="0" xfId="5" applyFont="1"/>
    <xf numFmtId="0" fontId="64" fillId="0" borderId="0" xfId="2" applyFont="1" applyAlignment="1">
      <alignment vertical="top"/>
    </xf>
    <xf numFmtId="0" fontId="108" fillId="0" borderId="0" xfId="2" applyFont="1"/>
    <xf numFmtId="0" fontId="109" fillId="0" borderId="0" xfId="2" applyFont="1"/>
    <xf numFmtId="2" fontId="0" fillId="0" borderId="0" xfId="0" applyNumberFormat="1" applyAlignment="1">
      <alignment horizontal="left"/>
    </xf>
    <xf numFmtId="10" fontId="0" fillId="0" borderId="0" xfId="0" applyNumberFormat="1" applyAlignment="1">
      <alignment horizontal="left"/>
    </xf>
    <xf numFmtId="0" fontId="0" fillId="0" borderId="0" xfId="0" applyAlignment="1">
      <alignment horizontal="left"/>
    </xf>
    <xf numFmtId="0" fontId="5" fillId="0" borderId="0" xfId="0" applyFont="1" applyAlignment="1">
      <alignment horizontal="left"/>
    </xf>
    <xf numFmtId="177" fontId="0" fillId="0" borderId="0" xfId="0" applyNumberFormat="1" applyAlignment="1">
      <alignment horizontal="left"/>
    </xf>
    <xf numFmtId="40" fontId="0" fillId="0" borderId="0" xfId="0" applyNumberFormat="1" applyAlignment="1">
      <alignment horizontal="left"/>
    </xf>
    <xf numFmtId="2" fontId="5" fillId="0" borderId="0" xfId="0" applyNumberFormat="1" applyFont="1" applyAlignment="1">
      <alignment horizontal="left"/>
    </xf>
    <xf numFmtId="2" fontId="11" fillId="0" borderId="0" xfId="0" applyNumberFormat="1" applyFont="1" applyAlignment="1">
      <alignment horizontal="left"/>
    </xf>
    <xf numFmtId="0" fontId="49" fillId="8" borderId="0" xfId="0" applyFont="1" applyFill="1"/>
    <xf numFmtId="0" fontId="49" fillId="8" borderId="0" xfId="0" applyFont="1" applyFill="1" applyAlignment="1">
      <alignment horizontal="right"/>
    </xf>
    <xf numFmtId="0" fontId="0" fillId="8" borderId="0" xfId="0" applyFill="1" applyAlignment="1">
      <alignment horizontal="center" wrapText="1"/>
    </xf>
    <xf numFmtId="0" fontId="0" fillId="8" borderId="0" xfId="0" applyFill="1" applyAlignment="1">
      <alignment horizontal="right"/>
    </xf>
    <xf numFmtId="2" fontId="49" fillId="8" borderId="0" xfId="0" applyNumberFormat="1" applyFont="1" applyFill="1" applyAlignment="1">
      <alignment horizontal="right"/>
    </xf>
    <xf numFmtId="0" fontId="115" fillId="0" borderId="0" xfId="0" applyFont="1"/>
    <xf numFmtId="0" fontId="7" fillId="0" borderId="0" xfId="1" applyFont="1" applyAlignment="1">
      <alignment horizontal="center"/>
    </xf>
    <xf numFmtId="0" fontId="6" fillId="0" borderId="0" xfId="0" applyFont="1" applyAlignment="1">
      <alignment vertical="top" wrapText="1"/>
    </xf>
    <xf numFmtId="8" fontId="6" fillId="0" borderId="0" xfId="0" applyNumberFormat="1" applyFont="1" applyAlignment="1">
      <alignment horizontal="right"/>
    </xf>
    <xf numFmtId="0" fontId="6" fillId="0" borderId="0" xfId="0" applyFont="1" applyAlignment="1">
      <alignment horizontal="left"/>
    </xf>
    <xf numFmtId="8" fontId="6" fillId="0" borderId="0" xfId="0" applyNumberFormat="1" applyFont="1" applyAlignment="1">
      <alignment horizontal="center"/>
    </xf>
    <xf numFmtId="8" fontId="6" fillId="0" borderId="0" xfId="0" applyNumberFormat="1" applyFont="1" applyAlignment="1">
      <alignment horizontal="left"/>
    </xf>
    <xf numFmtId="0" fontId="117" fillId="0" borderId="0" xfId="0" applyFont="1"/>
    <xf numFmtId="0" fontId="118" fillId="0" borderId="0" xfId="0" applyFont="1"/>
    <xf numFmtId="177" fontId="0" fillId="0" borderId="0" xfId="0" applyNumberFormat="1" applyAlignment="1">
      <alignment horizontal="right"/>
    </xf>
    <xf numFmtId="178" fontId="0" fillId="0" borderId="0" xfId="0" applyNumberFormat="1"/>
    <xf numFmtId="167" fontId="0" fillId="0" borderId="0" xfId="0" applyNumberFormat="1" applyAlignment="1">
      <alignment horizontal="right"/>
    </xf>
    <xf numFmtId="9" fontId="0" fillId="0" borderId="0" xfId="0" applyNumberFormat="1"/>
    <xf numFmtId="179" fontId="0" fillId="0" borderId="0" xfId="0" applyNumberFormat="1" applyAlignment="1">
      <alignment horizontal="right"/>
    </xf>
    <xf numFmtId="0" fontId="119" fillId="0" borderId="0" xfId="0" applyFont="1" applyAlignment="1">
      <alignment horizontal="centerContinuous"/>
    </xf>
    <xf numFmtId="0" fontId="0" fillId="0" borderId="0" xfId="0" applyAlignment="1">
      <alignment horizontal="centerContinuous"/>
    </xf>
    <xf numFmtId="179" fontId="63" fillId="0" borderId="0" xfId="0" applyNumberFormat="1" applyFont="1" applyAlignment="1">
      <alignment horizontal="right"/>
    </xf>
    <xf numFmtId="179" fontId="8" fillId="0" borderId="0" xfId="0" applyNumberFormat="1" applyFont="1"/>
    <xf numFmtId="0" fontId="119" fillId="0" borderId="0" xfId="0" applyFont="1"/>
    <xf numFmtId="49" fontId="46" fillId="0" borderId="0" xfId="0" applyNumberFormat="1" applyFont="1" applyAlignment="1">
      <alignment horizontal="right"/>
    </xf>
    <xf numFmtId="37" fontId="0" fillId="0" borderId="0" xfId="0" applyNumberFormat="1" applyAlignment="1">
      <alignment horizontal="right"/>
    </xf>
    <xf numFmtId="0" fontId="63" fillId="0" borderId="0" xfId="0" applyFont="1" applyAlignment="1">
      <alignment horizontal="right"/>
    </xf>
    <xf numFmtId="167" fontId="11" fillId="0" borderId="0" xfId="0" applyNumberFormat="1" applyFont="1" applyAlignment="1">
      <alignment horizontal="right"/>
    </xf>
    <xf numFmtId="0" fontId="11" fillId="0" borderId="0" xfId="0" applyFont="1" applyAlignment="1">
      <alignment horizontal="right"/>
    </xf>
    <xf numFmtId="179" fontId="11" fillId="0" borderId="0" xfId="0" applyNumberFormat="1" applyFont="1" applyAlignment="1">
      <alignment horizontal="right"/>
    </xf>
    <xf numFmtId="179" fontId="8" fillId="0" borderId="0" xfId="0" applyNumberFormat="1" applyFont="1" applyAlignment="1">
      <alignment horizontal="right"/>
    </xf>
    <xf numFmtId="180" fontId="63" fillId="0" borderId="0" xfId="0" applyNumberFormat="1" applyFont="1" applyAlignment="1">
      <alignment horizontal="right"/>
    </xf>
    <xf numFmtId="0" fontId="39" fillId="0" borderId="0" xfId="0" applyFont="1" applyAlignment="1">
      <alignment horizontal="right"/>
    </xf>
    <xf numFmtId="0" fontId="120" fillId="9" borderId="0" xfId="0" applyFont="1" applyFill="1"/>
    <xf numFmtId="2" fontId="11" fillId="0" borderId="0" xfId="0" applyNumberFormat="1" applyFont="1" applyAlignment="1">
      <alignment horizontal="right"/>
    </xf>
    <xf numFmtId="181" fontId="0" fillId="0" borderId="0" xfId="0" applyNumberFormat="1" applyAlignment="1">
      <alignment horizontal="right"/>
    </xf>
    <xf numFmtId="179" fontId="63" fillId="0" borderId="0" xfId="0" applyNumberFormat="1" applyFont="1"/>
    <xf numFmtId="182" fontId="3" fillId="0" borderId="0" xfId="0" applyNumberFormat="1" applyFont="1"/>
    <xf numFmtId="7" fontId="5" fillId="0" borderId="0" xfId="0" applyNumberFormat="1" applyFont="1"/>
    <xf numFmtId="7" fontId="45" fillId="0" borderId="0" xfId="0" applyNumberFormat="1" applyFont="1"/>
    <xf numFmtId="183" fontId="15" fillId="0" borderId="0" xfId="0" applyNumberFormat="1" applyFont="1"/>
    <xf numFmtId="183" fontId="16" fillId="0" borderId="0" xfId="0" applyNumberFormat="1" applyFont="1"/>
    <xf numFmtId="184" fontId="15" fillId="0" borderId="0" xfId="0" applyNumberFormat="1" applyFont="1"/>
    <xf numFmtId="184" fontId="8" fillId="0" borderId="0" xfId="0" applyNumberFormat="1" applyFont="1"/>
    <xf numFmtId="183" fontId="8" fillId="0" borderId="0" xfId="0" applyNumberFormat="1" applyFont="1"/>
    <xf numFmtId="183" fontId="21" fillId="0" borderId="0" xfId="0" applyNumberFormat="1" applyFont="1"/>
    <xf numFmtId="0" fontId="49" fillId="0" borderId="0" xfId="0" applyFont="1" applyAlignment="1">
      <alignment horizontal="left" wrapText="1"/>
    </xf>
    <xf numFmtId="0" fontId="49" fillId="0" borderId="0" xfId="0" applyFont="1" applyAlignment="1">
      <alignment horizontal="center"/>
    </xf>
    <xf numFmtId="0" fontId="49" fillId="0" borderId="0" xfId="0" applyFont="1" applyAlignment="1">
      <alignment vertical="center"/>
    </xf>
    <xf numFmtId="0" fontId="49" fillId="0" borderId="0" xfId="0" applyFont="1" applyAlignment="1">
      <alignment horizontal="right"/>
    </xf>
    <xf numFmtId="0" fontId="49" fillId="0" borderId="0" xfId="0" applyFont="1" applyAlignment="1">
      <alignment horizontal="center" vertical="center"/>
    </xf>
    <xf numFmtId="0" fontId="49" fillId="0" borderId="0" xfId="0" applyFont="1" applyAlignment="1">
      <alignment wrapText="1"/>
    </xf>
    <xf numFmtId="0" fontId="49" fillId="0" borderId="0" xfId="0" applyFont="1" applyAlignment="1">
      <alignment horizontal="center" wrapText="1"/>
    </xf>
    <xf numFmtId="8" fontId="51" fillId="0" borderId="0" xfId="0" applyNumberFormat="1" applyFont="1" applyAlignment="1">
      <alignment horizontal="left"/>
    </xf>
    <xf numFmtId="0" fontId="80" fillId="0" borderId="0" xfId="0" applyFont="1" applyAlignment="1">
      <alignment horizontal="left"/>
    </xf>
    <xf numFmtId="0" fontId="51" fillId="0" borderId="0" xfId="0" applyFont="1" applyAlignment="1">
      <alignment horizontal="right"/>
    </xf>
    <xf numFmtId="44" fontId="1" fillId="0" borderId="0" xfId="8" applyFont="1" applyFill="1" applyBorder="1"/>
    <xf numFmtId="185" fontId="1" fillId="0" borderId="0" xfId="9" applyNumberFormat="1" applyFont="1" applyFill="1" applyBorder="1"/>
    <xf numFmtId="0" fontId="0" fillId="0" borderId="2" xfId="0" applyBorder="1"/>
    <xf numFmtId="44" fontId="1" fillId="0" borderId="2" xfId="8" applyFont="1" applyFill="1" applyBorder="1"/>
    <xf numFmtId="44" fontId="33" fillId="0" borderId="0" xfId="0" applyNumberFormat="1" applyFont="1"/>
    <xf numFmtId="0" fontId="45" fillId="0" borderId="1" xfId="0" applyFont="1" applyBorder="1"/>
    <xf numFmtId="44" fontId="1" fillId="0" borderId="0" xfId="0" applyNumberFormat="1" applyFont="1"/>
    <xf numFmtId="0" fontId="5" fillId="0" borderId="1" xfId="0" applyFont="1" applyBorder="1"/>
    <xf numFmtId="44" fontId="1" fillId="0" borderId="2" xfId="0" applyNumberFormat="1" applyFont="1" applyBorder="1"/>
    <xf numFmtId="168" fontId="1" fillId="0" borderId="0" xfId="8" applyNumberFormat="1" applyFont="1" applyFill="1" applyBorder="1"/>
    <xf numFmtId="168" fontId="1" fillId="0" borderId="2" xfId="0" applyNumberFormat="1" applyFont="1" applyBorder="1"/>
    <xf numFmtId="167" fontId="0" fillId="0" borderId="0" xfId="0" applyNumberFormat="1"/>
    <xf numFmtId="8" fontId="11" fillId="0" borderId="0" xfId="0" applyNumberFormat="1" applyFont="1"/>
    <xf numFmtId="6" fontId="49" fillId="0" borderId="0" xfId="0" applyNumberFormat="1" applyFont="1"/>
    <xf numFmtId="44" fontId="49" fillId="0" borderId="0" xfId="0" applyNumberFormat="1" applyFont="1"/>
    <xf numFmtId="167" fontId="49" fillId="0" borderId="0" xfId="0" applyNumberFormat="1" applyFont="1"/>
    <xf numFmtId="44" fontId="50" fillId="0" borderId="0" xfId="8" applyFont="1"/>
    <xf numFmtId="44" fontId="49" fillId="0" borderId="0" xfId="8" applyFont="1" applyAlignment="1">
      <alignment horizontal="right"/>
    </xf>
    <xf numFmtId="8" fontId="50" fillId="0" borderId="0" xfId="0" applyNumberFormat="1" applyFont="1"/>
    <xf numFmtId="8" fontId="71" fillId="0" borderId="0" xfId="0" applyNumberFormat="1" applyFont="1"/>
    <xf numFmtId="0" fontId="77" fillId="0" borderId="0" xfId="0" applyFont="1" applyAlignment="1">
      <alignment horizontal="right"/>
    </xf>
    <xf numFmtId="0" fontId="122" fillId="0" borderId="0" xfId="0" applyFont="1"/>
    <xf numFmtId="3" fontId="77" fillId="0" borderId="0" xfId="0" applyNumberFormat="1" applyFont="1"/>
    <xf numFmtId="0" fontId="106" fillId="0" borderId="0" xfId="0" applyFont="1"/>
    <xf numFmtId="0" fontId="123" fillId="0" borderId="1" xfId="0" applyFont="1" applyBorder="1" applyAlignment="1">
      <alignment horizontal="center" wrapText="1"/>
    </xf>
    <xf numFmtId="0" fontId="124" fillId="0" borderId="1" xfId="0" applyFont="1" applyBorder="1" applyAlignment="1">
      <alignment horizontal="center" vertical="center" wrapText="1"/>
    </xf>
    <xf numFmtId="0" fontId="5" fillId="0" borderId="1" xfId="0" applyFont="1" applyBorder="1" applyAlignment="1">
      <alignment horizontal="right"/>
    </xf>
    <xf numFmtId="167" fontId="0" fillId="0" borderId="1" xfId="0" applyNumberFormat="1" applyBorder="1"/>
    <xf numFmtId="0" fontId="0" fillId="0" borderId="7" xfId="0" applyBorder="1"/>
    <xf numFmtId="0" fontId="124" fillId="0" borderId="1" xfId="0" applyFont="1" applyBorder="1" applyAlignment="1">
      <alignment horizontal="center" wrapText="1"/>
    </xf>
    <xf numFmtId="0" fontId="3" fillId="0" borderId="1" xfId="0" applyFont="1" applyBorder="1"/>
    <xf numFmtId="0" fontId="11" fillId="0" borderId="1" xfId="0" applyFont="1" applyBorder="1"/>
    <xf numFmtId="2" fontId="0" fillId="0" borderId="7" xfId="0" applyNumberFormat="1" applyBorder="1"/>
    <xf numFmtId="3" fontId="125" fillId="0" borderId="0" xfId="0" applyNumberFormat="1" applyFont="1"/>
    <xf numFmtId="3" fontId="26" fillId="5" borderId="0" xfId="0" applyNumberFormat="1" applyFont="1" applyFill="1" applyProtection="1">
      <protection locked="0"/>
    </xf>
    <xf numFmtId="0" fontId="26" fillId="5" borderId="0" xfId="0" applyFont="1" applyFill="1" applyProtection="1">
      <protection locked="0"/>
    </xf>
    <xf numFmtId="167" fontId="26" fillId="5" borderId="0" xfId="6" applyNumberFormat="1" applyFont="1" applyFill="1" applyProtection="1">
      <protection locked="0"/>
    </xf>
    <xf numFmtId="44" fontId="26" fillId="7" borderId="5" xfId="3" quotePrefix="1" applyFont="1" applyFill="1" applyBorder="1"/>
    <xf numFmtId="44" fontId="26" fillId="10" borderId="7" xfId="3" applyFont="1" applyFill="1" applyBorder="1"/>
    <xf numFmtId="0" fontId="34" fillId="0" borderId="8" xfId="1" quotePrefix="1" applyFont="1" applyBorder="1"/>
    <xf numFmtId="44" fontId="26" fillId="0" borderId="0" xfId="3" applyFont="1"/>
    <xf numFmtId="0" fontId="0" fillId="0" borderId="0" xfId="0" quotePrefix="1" applyAlignment="1">
      <alignment horizontal="right"/>
    </xf>
    <xf numFmtId="0" fontId="126" fillId="0" borderId="0" xfId="0" applyFont="1"/>
    <xf numFmtId="168" fontId="0" fillId="0" borderId="0" xfId="0" applyNumberFormat="1"/>
    <xf numFmtId="0" fontId="63" fillId="0" borderId="0" xfId="0" applyFont="1"/>
    <xf numFmtId="186" fontId="49" fillId="0" borderId="0" xfId="0" applyNumberFormat="1" applyFont="1"/>
    <xf numFmtId="171" fontId="49" fillId="0" borderId="0" xfId="0" applyNumberFormat="1" applyFont="1"/>
    <xf numFmtId="166" fontId="51" fillId="0" borderId="0" xfId="0" applyNumberFormat="1" applyFont="1"/>
    <xf numFmtId="0" fontId="49" fillId="0" borderId="0" xfId="0" applyFont="1" applyAlignment="1">
      <alignment horizontal="right"/>
    </xf>
    <xf numFmtId="0" fontId="49" fillId="0" borderId="0" xfId="0" applyFont="1" applyAlignment="1">
      <alignment horizontal="center"/>
    </xf>
    <xf numFmtId="0" fontId="49" fillId="0" borderId="0" xfId="0" applyFont="1" applyAlignment="1">
      <alignment horizontal="left"/>
    </xf>
    <xf numFmtId="0" fontId="47" fillId="0" borderId="0" xfId="1" applyFont="1" applyAlignment="1">
      <alignment horizontal="center"/>
    </xf>
    <xf numFmtId="0" fontId="49" fillId="0" borderId="0" xfId="0" applyFont="1" applyAlignment="1">
      <alignment horizontal="left" vertical="top" wrapText="1"/>
    </xf>
    <xf numFmtId="0" fontId="52" fillId="0" borderId="0" xfId="0" applyFont="1" applyAlignment="1">
      <alignment horizontal="left" wrapText="1"/>
    </xf>
    <xf numFmtId="0" fontId="51" fillId="0" borderId="0" xfId="0" applyFont="1" applyAlignment="1">
      <alignment horizontal="left"/>
    </xf>
    <xf numFmtId="0" fontId="77" fillId="0" borderId="0" xfId="0" applyFont="1" applyAlignment="1">
      <alignment horizontal="right"/>
    </xf>
    <xf numFmtId="0" fontId="2" fillId="2" borderId="0" xfId="1" applyFont="1" applyFill="1" applyAlignment="1">
      <alignment horizontal="center"/>
    </xf>
    <xf numFmtId="0" fontId="0" fillId="0" borderId="0" xfId="0" applyAlignment="1">
      <alignment horizontal="left" vertical="top" wrapText="1"/>
    </xf>
    <xf numFmtId="0" fontId="0" fillId="0" borderId="1" xfId="0" applyBorder="1" applyAlignment="1">
      <alignment horizontal="left" vertical="top" wrapText="1"/>
    </xf>
    <xf numFmtId="0" fontId="0" fillId="5" borderId="12" xfId="0" applyFill="1" applyBorder="1" applyAlignment="1">
      <alignment horizontal="left" vertical="top" wrapText="1"/>
    </xf>
    <xf numFmtId="0" fontId="0" fillId="5" borderId="0" xfId="0" applyFill="1" applyAlignment="1">
      <alignment horizontal="left" vertical="top" wrapText="1"/>
    </xf>
    <xf numFmtId="0" fontId="0" fillId="5" borderId="9" xfId="0" applyFill="1" applyBorder="1" applyAlignment="1">
      <alignment horizontal="left" vertical="top" wrapText="1"/>
    </xf>
    <xf numFmtId="0" fontId="54" fillId="0" borderId="0" xfId="0" applyFont="1" applyAlignment="1">
      <alignment horizontal="center"/>
    </xf>
    <xf numFmtId="0" fontId="0" fillId="0" borderId="0" xfId="0"/>
    <xf numFmtId="0" fontId="56" fillId="0" borderId="0" xfId="0" applyFont="1" applyAlignment="1">
      <alignment horizontal="left" vertical="top" wrapText="1"/>
    </xf>
    <xf numFmtId="0" fontId="62" fillId="0" borderId="0" xfId="0" applyFont="1" applyAlignment="1">
      <alignment horizontal="left" wrapText="1"/>
    </xf>
    <xf numFmtId="0" fontId="2" fillId="0" borderId="0" xfId="1" applyFont="1" applyAlignment="1">
      <alignment horizontal="center"/>
    </xf>
    <xf numFmtId="0" fontId="4" fillId="0" borderId="0" xfId="0" applyFont="1" applyAlignment="1">
      <alignment horizontal="left" wrapText="1"/>
    </xf>
    <xf numFmtId="0" fontId="2" fillId="0" borderId="0" xfId="1" applyFont="1" applyAlignment="1">
      <alignment vertical="center"/>
    </xf>
    <xf numFmtId="0" fontId="7" fillId="0" borderId="0" xfId="0" applyFont="1" applyAlignment="1">
      <alignment horizontal="center"/>
    </xf>
    <xf numFmtId="0" fontId="0" fillId="0" borderId="0" xfId="0" applyAlignment="1">
      <alignment horizontal="center" vertical="top" wrapText="1"/>
    </xf>
    <xf numFmtId="0" fontId="5" fillId="0" borderId="0" xfId="0" applyFont="1" applyAlignment="1">
      <alignment horizontal="center"/>
    </xf>
    <xf numFmtId="0" fontId="47" fillId="0" borderId="0" xfId="1" applyFont="1" applyAlignment="1">
      <alignment horizontal="left"/>
    </xf>
    <xf numFmtId="8" fontId="49" fillId="0" borderId="0" xfId="0" applyNumberFormat="1" applyFont="1" applyAlignment="1">
      <alignment horizontal="left"/>
    </xf>
    <xf numFmtId="0" fontId="52" fillId="0" borderId="0" xfId="0" applyFont="1" applyAlignment="1">
      <alignment horizontal="left"/>
    </xf>
    <xf numFmtId="166" fontId="49" fillId="0" borderId="0" xfId="4" applyNumberFormat="1" applyFont="1" applyAlignment="1">
      <alignment horizontal="center"/>
    </xf>
    <xf numFmtId="0" fontId="49" fillId="0" borderId="3" xfId="4" applyFont="1" applyBorder="1" applyAlignment="1">
      <alignment horizontal="center"/>
    </xf>
    <xf numFmtId="0" fontId="76" fillId="0" borderId="0" xfId="1" applyFont="1" applyAlignment="1">
      <alignment horizontal="center"/>
    </xf>
    <xf numFmtId="0" fontId="49" fillId="0" borderId="0" xfId="0" applyFont="1"/>
    <xf numFmtId="0" fontId="77" fillId="0" borderId="0" xfId="0" applyFont="1"/>
    <xf numFmtId="0" fontId="50" fillId="0" borderId="0" xfId="0" applyFont="1"/>
    <xf numFmtId="0" fontId="79" fillId="0" borderId="15" xfId="0" applyFont="1" applyBorder="1"/>
    <xf numFmtId="0" fontId="79" fillId="0" borderId="15" xfId="0" applyFont="1" applyBorder="1" applyAlignment="1">
      <alignment horizontal="left"/>
    </xf>
    <xf numFmtId="0" fontId="1" fillId="0" borderId="0" xfId="0" applyFont="1" applyAlignment="1">
      <alignment horizontal="left" vertical="top" wrapText="1"/>
    </xf>
    <xf numFmtId="0" fontId="88" fillId="0" borderId="0" xfId="0" applyFont="1" applyAlignment="1">
      <alignment vertical="top" wrapText="1"/>
    </xf>
    <xf numFmtId="0" fontId="1" fillId="0" borderId="0" xfId="0" applyFont="1" applyAlignment="1">
      <alignment vertical="top" wrapText="1"/>
    </xf>
    <xf numFmtId="0" fontId="23" fillId="0" borderId="0" xfId="0" applyFont="1" applyAlignment="1">
      <alignment horizontal="center"/>
    </xf>
    <xf numFmtId="0" fontId="23" fillId="0" borderId="0" xfId="0" applyFont="1"/>
    <xf numFmtId="0" fontId="24" fillId="0" borderId="0" xfId="0" applyFont="1"/>
    <xf numFmtId="0" fontId="25" fillId="0" borderId="0" xfId="0" applyFont="1"/>
    <xf numFmtId="0" fontId="99" fillId="0" borderId="0" xfId="0" applyFont="1"/>
    <xf numFmtId="0" fontId="99" fillId="0" borderId="0" xfId="0" applyFont="1" applyAlignment="1">
      <alignment horizontal="left"/>
    </xf>
    <xf numFmtId="0" fontId="47" fillId="0" borderId="0" xfId="0" applyFont="1" applyAlignment="1">
      <alignment horizontal="center"/>
    </xf>
    <xf numFmtId="0" fontId="73" fillId="0" borderId="0" xfId="0" applyFont="1" applyAlignment="1">
      <alignment horizontal="left" vertical="top" wrapText="1"/>
    </xf>
    <xf numFmtId="0" fontId="101" fillId="0" borderId="0" xfId="0" applyFont="1" applyAlignment="1">
      <alignment horizontal="left" wrapText="1"/>
    </xf>
    <xf numFmtId="0" fontId="49" fillId="0" borderId="0" xfId="0" applyFont="1" applyAlignment="1">
      <alignment horizontal="center" vertical="top" wrapText="1"/>
    </xf>
    <xf numFmtId="0" fontId="0" fillId="0" borderId="0" xfId="0" applyAlignment="1">
      <alignment wrapText="1"/>
    </xf>
    <xf numFmtId="0" fontId="104" fillId="0" borderId="0" xfId="0" applyFont="1"/>
    <xf numFmtId="0" fontId="5" fillId="0" borderId="0" xfId="0" applyFont="1"/>
    <xf numFmtId="0" fontId="45" fillId="0" borderId="0" xfId="0" applyFont="1"/>
    <xf numFmtId="0" fontId="3" fillId="0" borderId="0" xfId="0" applyFont="1"/>
    <xf numFmtId="0" fontId="2" fillId="0" borderId="0" xfId="1" applyFont="1" applyAlignment="1">
      <alignment horizontal="right"/>
    </xf>
    <xf numFmtId="0" fontId="0" fillId="0" borderId="0" xfId="0" applyAlignment="1">
      <alignment horizontal="right"/>
    </xf>
    <xf numFmtId="0" fontId="2" fillId="0" borderId="1" xfId="1" applyFont="1" applyBorder="1" applyAlignment="1">
      <alignment horizontal="left"/>
    </xf>
    <xf numFmtId="0" fontId="0" fillId="0" borderId="1" xfId="0" applyBorder="1" applyAlignment="1">
      <alignment horizontal="left"/>
    </xf>
    <xf numFmtId="0" fontId="31" fillId="0" borderId="0" xfId="0" applyFont="1" applyAlignment="1">
      <alignment horizontal="left" vertical="top" wrapText="1"/>
    </xf>
    <xf numFmtId="0" fontId="6" fillId="0" borderId="0" xfId="2" applyAlignment="1">
      <alignment horizontal="center" vertical="center"/>
    </xf>
    <xf numFmtId="0" fontId="6" fillId="0" borderId="0" xfId="2" applyAlignment="1">
      <alignment horizontal="center" vertical="top"/>
    </xf>
    <xf numFmtId="0" fontId="106" fillId="0" borderId="0" xfId="2" applyFont="1" applyAlignment="1">
      <alignment horizontal="left" vertical="top" wrapText="1"/>
    </xf>
    <xf numFmtId="0" fontId="31" fillId="0" borderId="0" xfId="0" applyFont="1" applyAlignment="1">
      <alignment horizontal="center" vertical="top" wrapText="1"/>
    </xf>
    <xf numFmtId="0" fontId="29" fillId="0" borderId="0" xfId="0" applyFont="1" applyAlignment="1">
      <alignment horizontal="left" vertical="top"/>
    </xf>
    <xf numFmtId="0" fontId="30" fillId="0" borderId="0" xfId="0" applyFont="1" applyAlignment="1">
      <alignment horizontal="left" vertical="top" wrapText="1"/>
    </xf>
    <xf numFmtId="0" fontId="15" fillId="0" borderId="0" xfId="0" applyFont="1" applyAlignment="1">
      <alignment wrapText="1"/>
    </xf>
    <xf numFmtId="0" fontId="17" fillId="0" borderId="0" xfId="0" applyFont="1" applyAlignment="1">
      <alignment horizontal="left" vertical="top" wrapText="1"/>
    </xf>
    <xf numFmtId="0" fontId="64" fillId="0" borderId="1" xfId="0" applyFont="1" applyBorder="1" applyAlignment="1">
      <alignment horizontal="left" wrapText="1"/>
    </xf>
    <xf numFmtId="0" fontId="7" fillId="0" borderId="0" xfId="1" applyFont="1" applyAlignment="1">
      <alignment horizontal="center"/>
    </xf>
    <xf numFmtId="0" fontId="6" fillId="0" borderId="0" xfId="0" applyFont="1" applyAlignment="1">
      <alignment horizontal="left" vertical="top" wrapText="1"/>
    </xf>
    <xf numFmtId="0" fontId="15" fillId="0" borderId="0" xfId="0" applyFont="1" applyAlignment="1">
      <alignment vertical="center"/>
    </xf>
    <xf numFmtId="0" fontId="63" fillId="0" borderId="0" xfId="0" applyFont="1" applyAlignment="1">
      <alignment horizontal="left" vertical="top" wrapText="1"/>
    </xf>
    <xf numFmtId="0" fontId="49" fillId="0" borderId="0" xfId="0" applyFont="1" applyAlignment="1">
      <alignment horizontal="left" wrapText="1"/>
    </xf>
    <xf numFmtId="8" fontId="49" fillId="0" borderId="0" xfId="0" applyNumberFormat="1" applyFont="1" applyAlignment="1">
      <alignment horizontal="center"/>
    </xf>
    <xf numFmtId="0" fontId="52" fillId="0" borderId="0" xfId="0" applyFont="1" applyAlignment="1">
      <alignment horizontal="center" wrapText="1"/>
    </xf>
    <xf numFmtId="2" fontId="49" fillId="0" borderId="0" xfId="8" applyNumberFormat="1" applyFont="1" applyAlignment="1">
      <alignment horizontal="center"/>
    </xf>
    <xf numFmtId="0" fontId="52" fillId="0" borderId="0" xfId="0" applyFont="1" applyAlignment="1">
      <alignment horizontal="center"/>
    </xf>
    <xf numFmtId="0" fontId="80" fillId="0" borderId="0" xfId="0" applyFont="1" applyAlignment="1">
      <alignment horizontal="left"/>
    </xf>
    <xf numFmtId="0" fontId="0" fillId="0" borderId="0" xfId="0" applyAlignment="1">
      <alignment horizontal="left"/>
    </xf>
    <xf numFmtId="0" fontId="5" fillId="0" borderId="0" xfId="0" applyFont="1" applyAlignment="1">
      <alignment horizontal="left"/>
    </xf>
    <xf numFmtId="8" fontId="69" fillId="0" borderId="0" xfId="8" applyNumberFormat="1" applyFont="1"/>
    <xf numFmtId="8" fontId="69" fillId="0" borderId="0" xfId="0" applyNumberFormat="1" applyFont="1"/>
    <xf numFmtId="0" fontId="49" fillId="0" borderId="0" xfId="0" applyFont="1"/>
    <xf numFmtId="0" fontId="51" fillId="0" borderId="0" xfId="0" applyFont="1"/>
    <xf numFmtId="0" fontId="52" fillId="0" borderId="0" xfId="0" applyFont="1"/>
    <xf numFmtId="0" fontId="69" fillId="0" borderId="0" xfId="0" applyFont="1"/>
    <xf numFmtId="44" fontId="69" fillId="0" borderId="0" xfId="8" applyFont="1"/>
    <xf numFmtId="0" fontId="121" fillId="0" borderId="0" xfId="0" applyFont="1"/>
    <xf numFmtId="3" fontId="49" fillId="0" borderId="0" xfId="0" applyNumberFormat="1" applyFont="1"/>
    <xf numFmtId="0" fontId="52" fillId="0" borderId="0" xfId="0" applyFont="1" applyAlignment="1">
      <alignment horizontal="left" wrapText="1"/>
    </xf>
  </cellXfs>
  <cellStyles count="12">
    <cellStyle name="Comma" xfId="9" builtinId="3"/>
    <cellStyle name="Currency" xfId="8" builtinId="4"/>
    <cellStyle name="Currency 2" xfId="3" xr:uid="{93D3B50D-5D33-415B-87EE-C051A93177FD}"/>
    <cellStyle name="Hyperlink" xfId="11" builtinId="8"/>
    <cellStyle name="Normal" xfId="0" builtinId="0"/>
    <cellStyle name="Normal 11 3" xfId="2" xr:uid="{5FAC8CB6-8246-4E6C-A24B-9F5E4701746A}"/>
    <cellStyle name="Normal 2" xfId="1" xr:uid="{00000000-0005-0000-0000-000001000000}"/>
    <cellStyle name="Normal 3" xfId="4" xr:uid="{F2E96AA6-C8E7-4D84-B067-2934428A8BC8}"/>
    <cellStyle name="Normal 4" xfId="5" xr:uid="{9B2FEC50-9FA4-4684-A433-D168572B0EA1}"/>
    <cellStyle name="Normal 5" xfId="7" xr:uid="{011BAB4E-A48E-4075-9922-1207E4736DB9}"/>
    <cellStyle name="Percent" xfId="10" builtinId="5"/>
    <cellStyle name="Percent 2" xfId="6" xr:uid="{36752ADD-C777-4854-8E33-DA94A24C03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0"/>
  <sheetViews>
    <sheetView zoomScaleNormal="100" workbookViewId="0">
      <selection sqref="A1:XFD1048576"/>
    </sheetView>
  </sheetViews>
  <sheetFormatPr defaultRowHeight="15" x14ac:dyDescent="0.25"/>
  <cols>
    <col min="1" max="16384" width="9.140625" style="84"/>
  </cols>
  <sheetData>
    <row r="1" spans="1:13" ht="21" x14ac:dyDescent="0.35">
      <c r="A1" s="457" t="s">
        <v>1067</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8" x14ac:dyDescent="0.25">
      <c r="A17" s="84" t="s">
        <v>10</v>
      </c>
      <c r="B17" s="84" t="s">
        <v>11</v>
      </c>
    </row>
    <row r="19" spans="1:8" x14ac:dyDescent="0.25">
      <c r="C19"/>
      <c r="D19" t="s">
        <v>911</v>
      </c>
      <c r="E19" t="s">
        <v>912</v>
      </c>
      <c r="F19"/>
      <c r="G19"/>
      <c r="H19"/>
    </row>
    <row r="20" spans="1:8" x14ac:dyDescent="0.25">
      <c r="C20"/>
      <c r="D20" t="s">
        <v>913</v>
      </c>
      <c r="E20"/>
      <c r="F20"/>
      <c r="G20"/>
      <c r="H20"/>
    </row>
    <row r="21" spans="1:8" x14ac:dyDescent="0.25">
      <c r="C21"/>
      <c r="D21" t="s">
        <v>748</v>
      </c>
      <c r="E21" t="s">
        <v>914</v>
      </c>
      <c r="F21"/>
      <c r="G21"/>
      <c r="H21"/>
    </row>
    <row r="22" spans="1:8" x14ac:dyDescent="0.25">
      <c r="C22"/>
      <c r="D22" t="s">
        <v>915</v>
      </c>
      <c r="E22"/>
      <c r="F22"/>
      <c r="G22"/>
      <c r="H22"/>
    </row>
    <row r="23" spans="1:8" x14ac:dyDescent="0.25">
      <c r="C23"/>
      <c r="D23" t="s">
        <v>916</v>
      </c>
      <c r="E23"/>
      <c r="F23"/>
      <c r="G23"/>
      <c r="H23"/>
    </row>
    <row r="24" spans="1:8" x14ac:dyDescent="0.25">
      <c r="C24"/>
      <c r="D24" s="4" t="s">
        <v>917</v>
      </c>
      <c r="E24"/>
      <c r="F24"/>
      <c r="G24"/>
      <c r="H24"/>
    </row>
    <row r="27" spans="1:8" x14ac:dyDescent="0.25">
      <c r="A27" s="84" t="s">
        <v>12</v>
      </c>
      <c r="B27" s="84" t="s">
        <v>13</v>
      </c>
    </row>
    <row r="29" spans="1:8" x14ac:dyDescent="0.25">
      <c r="C29"/>
      <c r="D29" t="s">
        <v>911</v>
      </c>
      <c r="E29" t="s">
        <v>912</v>
      </c>
      <c r="F29"/>
      <c r="G29"/>
      <c r="H29"/>
    </row>
    <row r="30" spans="1:8" x14ac:dyDescent="0.25">
      <c r="C30"/>
      <c r="D30" t="s">
        <v>913</v>
      </c>
      <c r="E30"/>
      <c r="F30"/>
      <c r="G30"/>
      <c r="H30"/>
    </row>
    <row r="31" spans="1:8" x14ac:dyDescent="0.25">
      <c r="C31"/>
      <c r="D31" t="s">
        <v>748</v>
      </c>
      <c r="E31" t="s">
        <v>914</v>
      </c>
      <c r="F31"/>
      <c r="G31"/>
      <c r="H31"/>
    </row>
    <row r="32" spans="1:8" x14ac:dyDescent="0.25">
      <c r="C32"/>
      <c r="D32" t="s">
        <v>915</v>
      </c>
      <c r="E32"/>
      <c r="F32"/>
      <c r="G32"/>
      <c r="H32"/>
    </row>
    <row r="33" spans="1:19" x14ac:dyDescent="0.25">
      <c r="C33"/>
      <c r="D33" t="s">
        <v>916</v>
      </c>
      <c r="E33"/>
      <c r="F33"/>
      <c r="G33"/>
      <c r="H33"/>
    </row>
    <row r="34" spans="1:19" x14ac:dyDescent="0.25">
      <c r="C34"/>
      <c r="D34" s="4" t="s">
        <v>917</v>
      </c>
      <c r="E34"/>
      <c r="F34"/>
      <c r="G34"/>
      <c r="H34"/>
    </row>
    <row r="37" spans="1:19" x14ac:dyDescent="0.25">
      <c r="A37" s="84" t="s">
        <v>15</v>
      </c>
      <c r="B37" s="84" t="s">
        <v>16</v>
      </c>
    </row>
    <row r="39" spans="1:19" x14ac:dyDescent="0.25">
      <c r="C39"/>
      <c r="D39" t="s">
        <v>180</v>
      </c>
      <c r="E39" t="s">
        <v>911</v>
      </c>
      <c r="F39" t="s">
        <v>912</v>
      </c>
      <c r="G39"/>
      <c r="H39"/>
      <c r="I39"/>
      <c r="J39"/>
      <c r="K39"/>
      <c r="L39"/>
      <c r="M39"/>
      <c r="N39" t="s">
        <v>918</v>
      </c>
      <c r="O39" t="s">
        <v>911</v>
      </c>
      <c r="P39" t="s">
        <v>912</v>
      </c>
      <c r="Q39"/>
      <c r="R39"/>
      <c r="S39"/>
    </row>
    <row r="40" spans="1:19" x14ac:dyDescent="0.25">
      <c r="C40"/>
      <c r="D40"/>
      <c r="E40" t="s">
        <v>919</v>
      </c>
      <c r="F40"/>
      <c r="G40"/>
      <c r="H40"/>
      <c r="I40"/>
      <c r="J40"/>
      <c r="K40"/>
      <c r="L40"/>
      <c r="M40"/>
      <c r="N40"/>
      <c r="O40" t="s">
        <v>919</v>
      </c>
      <c r="P40"/>
      <c r="Q40"/>
      <c r="R40"/>
      <c r="S40"/>
    </row>
    <row r="41" spans="1:19" x14ac:dyDescent="0.25">
      <c r="C41"/>
      <c r="D41"/>
      <c r="E41" t="s">
        <v>748</v>
      </c>
      <c r="F41" t="s">
        <v>920</v>
      </c>
      <c r="G41"/>
      <c r="H41"/>
      <c r="I41"/>
      <c r="J41"/>
      <c r="K41"/>
      <c r="L41"/>
      <c r="M41"/>
      <c r="N41"/>
      <c r="O41" t="s">
        <v>748</v>
      </c>
      <c r="P41" t="s">
        <v>920</v>
      </c>
      <c r="Q41"/>
      <c r="R41"/>
      <c r="S41"/>
    </row>
    <row r="42" spans="1:19" x14ac:dyDescent="0.25">
      <c r="C42"/>
      <c r="D42"/>
      <c r="E42" t="s">
        <v>915</v>
      </c>
      <c r="F42"/>
      <c r="G42"/>
      <c r="H42"/>
      <c r="I42"/>
      <c r="J42"/>
      <c r="K42"/>
      <c r="L42"/>
      <c r="M42"/>
      <c r="N42"/>
      <c r="O42" t="s">
        <v>915</v>
      </c>
      <c r="P42"/>
      <c r="Q42"/>
      <c r="R42"/>
      <c r="S42"/>
    </row>
    <row r="43" spans="1:19" x14ac:dyDescent="0.25">
      <c r="C43"/>
      <c r="D43"/>
      <c r="E43" t="s">
        <v>921</v>
      </c>
      <c r="F43"/>
      <c r="G43"/>
      <c r="H43"/>
      <c r="I43"/>
      <c r="J43"/>
      <c r="K43"/>
      <c r="L43"/>
      <c r="M43"/>
      <c r="N43"/>
      <c r="O43" t="s">
        <v>922</v>
      </c>
      <c r="P43"/>
      <c r="Q43"/>
      <c r="R43"/>
      <c r="S43"/>
    </row>
    <row r="44" spans="1:19" x14ac:dyDescent="0.25">
      <c r="C44"/>
      <c r="D44"/>
      <c r="E44" s="4" t="s">
        <v>923</v>
      </c>
      <c r="F44"/>
      <c r="G44"/>
      <c r="H44"/>
      <c r="I44"/>
      <c r="J44"/>
      <c r="K44"/>
      <c r="L44"/>
      <c r="M44"/>
      <c r="N44"/>
      <c r="O44" t="s">
        <v>924</v>
      </c>
      <c r="P44"/>
      <c r="Q44"/>
      <c r="R44"/>
      <c r="S44"/>
    </row>
    <row r="45" spans="1:19" x14ac:dyDescent="0.25">
      <c r="C45"/>
      <c r="D45" s="4" t="s">
        <v>925</v>
      </c>
      <c r="E45"/>
      <c r="F45"/>
      <c r="G45"/>
      <c r="H45"/>
      <c r="I45"/>
      <c r="J45"/>
      <c r="K45"/>
      <c r="L45"/>
      <c r="M45"/>
      <c r="N45"/>
      <c r="O45"/>
      <c r="P45"/>
      <c r="Q45"/>
      <c r="R45"/>
      <c r="S45"/>
    </row>
    <row r="47" spans="1:19" x14ac:dyDescent="0.25">
      <c r="A47" s="84" t="s">
        <v>17</v>
      </c>
      <c r="B47" s="84" t="s">
        <v>18</v>
      </c>
    </row>
    <row r="49" spans="1:18" x14ac:dyDescent="0.25">
      <c r="B49" s="86"/>
      <c r="C49" s="1"/>
      <c r="D49" t="s">
        <v>911</v>
      </c>
      <c r="E49" t="s">
        <v>926</v>
      </c>
      <c r="F49"/>
      <c r="G49"/>
      <c r="H49" s="1"/>
      <c r="I49" s="86"/>
      <c r="J49" s="86"/>
      <c r="K49" s="86"/>
      <c r="L49" s="86"/>
      <c r="M49" s="86"/>
    </row>
    <row r="50" spans="1:18" x14ac:dyDescent="0.25">
      <c r="B50" s="86"/>
      <c r="C50" s="1"/>
      <c r="D50" t="s">
        <v>927</v>
      </c>
      <c r="E50"/>
      <c r="F50"/>
      <c r="G50"/>
      <c r="H50" s="1"/>
      <c r="I50" s="86"/>
      <c r="J50" s="86"/>
      <c r="K50" s="86"/>
      <c r="L50" s="86"/>
      <c r="M50" s="86"/>
    </row>
    <row r="51" spans="1:18" x14ac:dyDescent="0.25">
      <c r="B51" s="86"/>
      <c r="C51" s="1"/>
      <c r="D51" t="s">
        <v>748</v>
      </c>
      <c r="E51" t="s">
        <v>928</v>
      </c>
      <c r="F51"/>
      <c r="G51"/>
      <c r="H51" s="1"/>
      <c r="I51" s="86"/>
      <c r="J51" s="86"/>
      <c r="K51" s="86"/>
      <c r="L51" s="86"/>
      <c r="M51" s="86"/>
    </row>
    <row r="52" spans="1:18" x14ac:dyDescent="0.25">
      <c r="C52"/>
      <c r="D52" t="s">
        <v>915</v>
      </c>
      <c r="E52"/>
      <c r="F52"/>
      <c r="G52"/>
      <c r="H52"/>
    </row>
    <row r="53" spans="1:18" x14ac:dyDescent="0.25">
      <c r="C53"/>
      <c r="D53" t="s">
        <v>929</v>
      </c>
      <c r="E53"/>
      <c r="F53"/>
      <c r="G53"/>
      <c r="H53"/>
    </row>
    <row r="54" spans="1:18" x14ac:dyDescent="0.25">
      <c r="C54"/>
      <c r="D54" s="4" t="s">
        <v>930</v>
      </c>
      <c r="E54"/>
      <c r="F54"/>
      <c r="G54"/>
      <c r="H54"/>
    </row>
    <row r="57" spans="1:18" x14ac:dyDescent="0.25">
      <c r="A57" s="84" t="s">
        <v>20</v>
      </c>
      <c r="B57" s="84" t="s">
        <v>21</v>
      </c>
    </row>
    <row r="59" spans="1:18" x14ac:dyDescent="0.25">
      <c r="C59"/>
      <c r="D59" t="s">
        <v>180</v>
      </c>
      <c r="E59" t="s">
        <v>911</v>
      </c>
      <c r="F59" t="s">
        <v>912</v>
      </c>
      <c r="G59"/>
      <c r="H59"/>
      <c r="I59"/>
      <c r="J59"/>
      <c r="K59"/>
      <c r="L59"/>
      <c r="M59"/>
      <c r="N59" t="s">
        <v>918</v>
      </c>
      <c r="O59" t="s">
        <v>911</v>
      </c>
      <c r="P59" t="s">
        <v>926</v>
      </c>
      <c r="Q59"/>
      <c r="R59"/>
    </row>
    <row r="60" spans="1:18" x14ac:dyDescent="0.25">
      <c r="C60"/>
      <c r="D60"/>
      <c r="E60" t="s">
        <v>931</v>
      </c>
      <c r="F60"/>
      <c r="G60"/>
      <c r="H60"/>
      <c r="I60"/>
      <c r="J60"/>
      <c r="K60"/>
      <c r="L60"/>
      <c r="M60"/>
      <c r="N60"/>
      <c r="O60" t="s">
        <v>931</v>
      </c>
      <c r="P60"/>
      <c r="Q60"/>
      <c r="R60"/>
    </row>
    <row r="61" spans="1:18" x14ac:dyDescent="0.25">
      <c r="C61"/>
      <c r="D61"/>
      <c r="E61" t="s">
        <v>748</v>
      </c>
      <c r="F61" t="s">
        <v>932</v>
      </c>
      <c r="G61"/>
      <c r="H61"/>
      <c r="I61"/>
      <c r="J61"/>
      <c r="K61"/>
      <c r="L61"/>
      <c r="M61"/>
      <c r="N61"/>
      <c r="O61" t="s">
        <v>748</v>
      </c>
      <c r="P61" t="s">
        <v>932</v>
      </c>
      <c r="Q61"/>
      <c r="R61"/>
    </row>
    <row r="62" spans="1:18" x14ac:dyDescent="0.25">
      <c r="C62"/>
      <c r="D62"/>
      <c r="E62" t="s">
        <v>915</v>
      </c>
      <c r="F62"/>
      <c r="G62"/>
      <c r="H62"/>
      <c r="I62"/>
      <c r="J62"/>
      <c r="K62"/>
      <c r="L62"/>
      <c r="M62"/>
      <c r="N62"/>
      <c r="O62" t="s">
        <v>915</v>
      </c>
      <c r="P62"/>
      <c r="Q62"/>
      <c r="R62"/>
    </row>
    <row r="63" spans="1:18" x14ac:dyDescent="0.25">
      <c r="C63"/>
      <c r="D63"/>
      <c r="E63" t="s">
        <v>933</v>
      </c>
      <c r="F63"/>
      <c r="G63"/>
      <c r="H63"/>
      <c r="I63"/>
      <c r="J63"/>
      <c r="K63"/>
      <c r="L63"/>
      <c r="M63"/>
      <c r="N63"/>
      <c r="O63" t="s">
        <v>934</v>
      </c>
      <c r="P63"/>
      <c r="Q63"/>
      <c r="R63"/>
    </row>
    <row r="64" spans="1:18" x14ac:dyDescent="0.25">
      <c r="C64"/>
      <c r="D64"/>
      <c r="E64" s="4" t="s">
        <v>935</v>
      </c>
      <c r="F64" s="4"/>
      <c r="G64" s="4"/>
      <c r="H64" s="4"/>
      <c r="I64"/>
      <c r="J64"/>
      <c r="K64"/>
      <c r="L64"/>
      <c r="M64"/>
      <c r="N64"/>
      <c r="O64" t="s">
        <v>936</v>
      </c>
      <c r="P64"/>
      <c r="Q64"/>
      <c r="R64"/>
    </row>
    <row r="65" spans="1:18" x14ac:dyDescent="0.25">
      <c r="B65" s="86"/>
      <c r="C65" s="1"/>
      <c r="D65" s="4" t="s">
        <v>937</v>
      </c>
      <c r="E65"/>
      <c r="F65"/>
      <c r="G65"/>
      <c r="H65" s="1"/>
      <c r="I65" s="1"/>
      <c r="J65" s="1"/>
      <c r="K65" s="1"/>
      <c r="L65" s="1"/>
      <c r="M65" s="1"/>
      <c r="N65" s="1"/>
      <c r="O65"/>
      <c r="P65"/>
      <c r="Q65"/>
      <c r="R65"/>
    </row>
    <row r="66" spans="1:18" x14ac:dyDescent="0.25">
      <c r="B66" s="86"/>
      <c r="C66" s="86"/>
      <c r="D66" s="86"/>
      <c r="E66" s="86"/>
      <c r="F66" s="86"/>
      <c r="G66" s="86"/>
      <c r="H66" s="86"/>
      <c r="I66" s="86"/>
      <c r="J66" s="86"/>
      <c r="K66" s="86"/>
      <c r="L66" s="86"/>
      <c r="M66" s="86"/>
    </row>
    <row r="67" spans="1:18" x14ac:dyDescent="0.25">
      <c r="A67" s="84" t="s">
        <v>22</v>
      </c>
      <c r="B67" s="84" t="s">
        <v>23</v>
      </c>
    </row>
    <row r="68" spans="1:18" ht="40.5" customHeight="1" x14ac:dyDescent="0.25">
      <c r="B68" s="459" t="s">
        <v>24</v>
      </c>
      <c r="C68" s="459"/>
      <c r="D68" s="459"/>
      <c r="E68" s="459"/>
      <c r="F68" s="459"/>
      <c r="G68" s="459"/>
      <c r="H68" s="459"/>
      <c r="I68" s="459"/>
      <c r="J68" s="459"/>
      <c r="K68" s="459"/>
      <c r="L68" s="86"/>
      <c r="M68" s="86"/>
    </row>
    <row r="69" spans="1:18" x14ac:dyDescent="0.25">
      <c r="B69" s="88"/>
      <c r="C69" s="88"/>
      <c r="D69" s="88"/>
      <c r="E69" s="88"/>
      <c r="F69" s="88"/>
      <c r="G69" s="88"/>
      <c r="H69" s="88"/>
      <c r="I69" s="88"/>
      <c r="J69" s="88"/>
      <c r="K69" s="88"/>
      <c r="L69" s="86"/>
      <c r="M69" s="86"/>
    </row>
    <row r="70" spans="1:18" x14ac:dyDescent="0.25">
      <c r="B70" s="88"/>
      <c r="C70" s="2"/>
      <c r="D70" t="s">
        <v>911</v>
      </c>
      <c r="E70" t="s">
        <v>938</v>
      </c>
      <c r="F70"/>
      <c r="G70"/>
      <c r="H70" s="2"/>
      <c r="I70" s="88"/>
      <c r="J70" s="88"/>
      <c r="K70" s="88"/>
      <c r="L70" s="86"/>
      <c r="M70" s="86"/>
    </row>
    <row r="71" spans="1:18" x14ac:dyDescent="0.25">
      <c r="C71"/>
      <c r="D71" t="s">
        <v>939</v>
      </c>
      <c r="E71"/>
      <c r="F71"/>
      <c r="G71"/>
      <c r="H71"/>
    </row>
    <row r="72" spans="1:18" x14ac:dyDescent="0.25">
      <c r="C72"/>
      <c r="D72" t="s">
        <v>748</v>
      </c>
      <c r="E72" t="s">
        <v>940</v>
      </c>
      <c r="F72"/>
      <c r="G72"/>
      <c r="H72"/>
    </row>
    <row r="73" spans="1:18" x14ac:dyDescent="0.25">
      <c r="C73"/>
      <c r="D73" t="s">
        <v>915</v>
      </c>
      <c r="E73"/>
      <c r="F73"/>
      <c r="G73"/>
      <c r="H73"/>
    </row>
    <row r="74" spans="1:18" x14ac:dyDescent="0.25">
      <c r="C74"/>
      <c r="D74" t="s">
        <v>941</v>
      </c>
      <c r="E74"/>
      <c r="F74"/>
      <c r="G74"/>
      <c r="H74"/>
    </row>
    <row r="75" spans="1:18" x14ac:dyDescent="0.25">
      <c r="C75"/>
      <c r="D75" s="4" t="s">
        <v>942</v>
      </c>
      <c r="E75"/>
      <c r="F75"/>
      <c r="G75"/>
      <c r="H75"/>
    </row>
    <row r="78" spans="1:18" x14ac:dyDescent="0.25">
      <c r="B78" s="86"/>
      <c r="C78" s="86"/>
      <c r="D78" s="86"/>
      <c r="E78" s="86"/>
      <c r="F78" s="86"/>
      <c r="G78" s="86"/>
      <c r="H78" s="86"/>
      <c r="I78" s="86"/>
      <c r="J78" s="86"/>
      <c r="K78" s="86"/>
      <c r="L78" s="86"/>
      <c r="M78" s="86"/>
    </row>
    <row r="79" spans="1:18" x14ac:dyDescent="0.25">
      <c r="B79" s="86"/>
      <c r="C79" s="86"/>
      <c r="D79" s="86"/>
      <c r="E79" s="86"/>
      <c r="F79" s="86"/>
      <c r="G79" s="86"/>
      <c r="H79" s="86"/>
      <c r="I79" s="86"/>
      <c r="J79" s="86"/>
      <c r="K79" s="86"/>
      <c r="L79" s="86"/>
      <c r="M79" s="86"/>
    </row>
    <row r="80" spans="1:18" x14ac:dyDescent="0.25">
      <c r="B80" s="86"/>
      <c r="C80" s="86"/>
      <c r="D80" s="86"/>
      <c r="E80" s="86"/>
      <c r="F80" s="86"/>
      <c r="G80" s="86"/>
      <c r="H80" s="86"/>
      <c r="I80" s="86"/>
      <c r="J80" s="86"/>
      <c r="K80" s="86"/>
      <c r="L80" s="86"/>
      <c r="M80" s="86"/>
    </row>
  </sheetData>
  <mergeCells count="3">
    <mergeCell ref="A1:I1"/>
    <mergeCell ref="A3:K6"/>
    <mergeCell ref="B68:K68"/>
  </mergeCells>
  <pageMargins left="0.25" right="0.2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62503-652E-41AC-819C-9C65D192671A}">
  <dimension ref="A1:T101"/>
  <sheetViews>
    <sheetView workbookViewId="0">
      <selection sqref="A1:XFD1048576"/>
    </sheetView>
  </sheetViews>
  <sheetFormatPr defaultRowHeight="15" x14ac:dyDescent="0.25"/>
  <sheetData>
    <row r="1" spans="1:13" ht="20.25" x14ac:dyDescent="0.3">
      <c r="A1" s="462" t="s">
        <v>1069</v>
      </c>
      <c r="B1" s="462"/>
      <c r="C1" s="462"/>
      <c r="D1" s="462"/>
      <c r="E1" s="462"/>
      <c r="F1" s="462"/>
      <c r="G1" s="462"/>
      <c r="H1" s="462"/>
      <c r="I1" s="462"/>
      <c r="J1" s="462"/>
    </row>
    <row r="2" spans="1:13" ht="15" customHeight="1" x14ac:dyDescent="0.25">
      <c r="A2" s="463" t="s">
        <v>1070</v>
      </c>
      <c r="B2" s="463"/>
      <c r="C2" s="463"/>
      <c r="D2" s="463"/>
      <c r="E2" s="463"/>
      <c r="F2" s="463"/>
      <c r="G2" s="463"/>
      <c r="H2" s="463"/>
      <c r="I2" s="463"/>
      <c r="J2" s="463"/>
      <c r="K2" s="3"/>
      <c r="L2" s="3"/>
      <c r="M2" s="3"/>
    </row>
    <row r="3" spans="1:13" x14ac:dyDescent="0.25">
      <c r="A3" s="463"/>
      <c r="B3" s="463"/>
      <c r="C3" s="463"/>
      <c r="D3" s="463"/>
      <c r="E3" s="463"/>
      <c r="F3" s="463"/>
      <c r="G3" s="463"/>
      <c r="H3" s="463"/>
      <c r="I3" s="463"/>
      <c r="J3" s="463"/>
      <c r="K3" s="3"/>
      <c r="L3" s="3"/>
      <c r="M3" s="3"/>
    </row>
    <row r="4" spans="1:13" x14ac:dyDescent="0.25">
      <c r="A4" s="463"/>
      <c r="B4" s="463"/>
      <c r="C4" s="463"/>
      <c r="D4" s="463"/>
      <c r="E4" s="463"/>
      <c r="F4" s="463"/>
      <c r="G4" s="463"/>
      <c r="H4" s="463"/>
      <c r="I4" s="463"/>
      <c r="J4" s="463"/>
      <c r="K4" s="3"/>
      <c r="L4" s="3"/>
      <c r="M4" s="3"/>
    </row>
    <row r="5" spans="1:13" x14ac:dyDescent="0.25">
      <c r="A5" s="463"/>
      <c r="B5" s="463"/>
      <c r="C5" s="463"/>
      <c r="D5" s="463"/>
      <c r="E5" s="463"/>
      <c r="F5" s="463"/>
      <c r="G5" s="463"/>
      <c r="H5" s="463"/>
      <c r="I5" s="463"/>
      <c r="J5" s="463"/>
      <c r="K5" s="3"/>
      <c r="L5" s="3"/>
      <c r="M5" s="3"/>
    </row>
    <row r="6" spans="1:13" x14ac:dyDescent="0.25">
      <c r="A6" s="464"/>
      <c r="B6" s="464"/>
      <c r="C6" s="464"/>
      <c r="D6" s="464"/>
      <c r="E6" s="464"/>
      <c r="F6" s="464"/>
      <c r="G6" s="464"/>
      <c r="H6" s="464"/>
      <c r="I6" s="464"/>
      <c r="J6" s="464"/>
    </row>
    <row r="7" spans="1:13" x14ac:dyDescent="0.25">
      <c r="A7" s="89" t="s">
        <v>10</v>
      </c>
      <c r="B7" s="90" t="s">
        <v>11</v>
      </c>
      <c r="C7" s="90"/>
      <c r="D7" s="90"/>
      <c r="E7" s="90"/>
      <c r="F7" s="90"/>
      <c r="G7" s="90"/>
      <c r="H7" s="90"/>
      <c r="I7" s="90"/>
      <c r="J7" s="91"/>
    </row>
    <row r="8" spans="1:13" x14ac:dyDescent="0.25">
      <c r="A8" s="92" t="s">
        <v>992</v>
      </c>
      <c r="B8" s="93"/>
      <c r="C8" s="93"/>
      <c r="D8" s="93"/>
      <c r="E8" s="93"/>
      <c r="F8" s="94"/>
      <c r="G8" s="94"/>
      <c r="H8" s="94"/>
      <c r="I8" s="94"/>
      <c r="J8" s="95"/>
    </row>
    <row r="9" spans="1:13" x14ac:dyDescent="0.25">
      <c r="A9" s="96" t="s">
        <v>993</v>
      </c>
      <c r="B9" s="94"/>
      <c r="C9" s="94"/>
      <c r="D9" s="94"/>
      <c r="E9" s="94"/>
      <c r="F9" s="94"/>
      <c r="G9" s="94"/>
      <c r="H9" s="94"/>
      <c r="I9" s="94"/>
      <c r="J9" s="95"/>
    </row>
    <row r="10" spans="1:13" x14ac:dyDescent="0.25">
      <c r="A10" s="97" t="s">
        <v>155</v>
      </c>
      <c r="B10" s="98"/>
      <c r="C10" s="99">
        <v>1809</v>
      </c>
      <c r="D10" s="100"/>
      <c r="E10" s="100"/>
      <c r="F10" s="100"/>
      <c r="G10" s="98"/>
      <c r="H10" s="98"/>
      <c r="I10" s="98"/>
      <c r="J10" s="101"/>
    </row>
    <row r="11" spans="1:13" x14ac:dyDescent="0.25">
      <c r="A11" s="97" t="s">
        <v>994</v>
      </c>
      <c r="B11" s="98"/>
      <c r="C11" s="102">
        <v>1.695E-2</v>
      </c>
      <c r="D11" s="98"/>
      <c r="E11" s="98"/>
      <c r="F11" s="98"/>
      <c r="G11" s="98"/>
      <c r="H11" s="98"/>
      <c r="I11" s="98"/>
      <c r="J11" s="101"/>
    </row>
    <row r="12" spans="1:13" x14ac:dyDescent="0.25">
      <c r="A12" s="97" t="s">
        <v>201</v>
      </c>
      <c r="B12" s="103" t="s">
        <v>995</v>
      </c>
      <c r="C12" s="99">
        <f>C10*C11</f>
        <v>30.66255</v>
      </c>
      <c r="D12" s="98"/>
      <c r="E12" s="98"/>
      <c r="F12" s="98"/>
      <c r="G12" s="98"/>
      <c r="H12" s="98"/>
      <c r="I12" s="98"/>
      <c r="J12" s="101"/>
    </row>
    <row r="13" spans="1:13" x14ac:dyDescent="0.25">
      <c r="A13" s="104" t="s">
        <v>996</v>
      </c>
      <c r="B13" s="105"/>
      <c r="C13" s="105"/>
      <c r="D13" s="98"/>
      <c r="E13" s="98" t="s">
        <v>997</v>
      </c>
      <c r="F13" s="98"/>
      <c r="G13" s="98"/>
      <c r="H13" s="98"/>
      <c r="I13" s="98"/>
      <c r="J13" s="101"/>
    </row>
    <row r="14" spans="1:13" x14ac:dyDescent="0.25">
      <c r="A14" s="104" t="s">
        <v>998</v>
      </c>
      <c r="B14" s="105"/>
      <c r="C14" s="106">
        <f>ROUND(C12,0)</f>
        <v>31</v>
      </c>
      <c r="D14" s="98"/>
      <c r="E14" s="98" t="s">
        <v>999</v>
      </c>
      <c r="F14" s="107">
        <f>C14</f>
        <v>31</v>
      </c>
      <c r="G14" s="108" t="s">
        <v>83</v>
      </c>
      <c r="H14" s="109">
        <v>0.72350000000000003</v>
      </c>
      <c r="I14" s="110" t="s">
        <v>749</v>
      </c>
      <c r="J14" s="111">
        <f>H14*F14</f>
        <v>22.4285</v>
      </c>
    </row>
    <row r="15" spans="1:13" x14ac:dyDescent="0.25">
      <c r="A15" s="104"/>
      <c r="B15" s="105"/>
      <c r="C15" s="105"/>
      <c r="D15" s="98"/>
      <c r="E15" s="105" t="s">
        <v>996</v>
      </c>
      <c r="F15" s="105"/>
      <c r="G15" s="105"/>
      <c r="H15" s="109"/>
      <c r="I15" s="98"/>
      <c r="J15" s="101"/>
    </row>
    <row r="16" spans="1:13" x14ac:dyDescent="0.25">
      <c r="A16" s="112"/>
      <c r="B16" s="113"/>
      <c r="C16" s="114"/>
      <c r="D16" s="115"/>
      <c r="E16" s="113" t="s">
        <v>1000</v>
      </c>
      <c r="F16" s="116"/>
      <c r="G16" s="116">
        <f>ROUND(J14,0)</f>
        <v>22</v>
      </c>
      <c r="H16" s="117"/>
      <c r="I16" s="115"/>
      <c r="J16" s="118"/>
    </row>
    <row r="19" spans="1:10" x14ac:dyDescent="0.25">
      <c r="A19" s="89" t="s">
        <v>12</v>
      </c>
      <c r="B19" s="90" t="s">
        <v>13</v>
      </c>
      <c r="C19" s="90"/>
      <c r="D19" s="90"/>
      <c r="E19" s="90"/>
      <c r="F19" s="90"/>
      <c r="G19" s="90"/>
      <c r="H19" s="90"/>
      <c r="I19" s="90"/>
      <c r="J19" s="91"/>
    </row>
    <row r="20" spans="1:10" x14ac:dyDescent="0.25">
      <c r="A20" s="92" t="s">
        <v>992</v>
      </c>
      <c r="B20" s="94"/>
      <c r="C20" s="94"/>
      <c r="D20" s="94"/>
      <c r="E20" s="94"/>
      <c r="F20" s="94"/>
      <c r="G20" s="94"/>
      <c r="H20" s="94"/>
      <c r="I20" s="94"/>
      <c r="J20" s="95"/>
    </row>
    <row r="21" spans="1:10" x14ac:dyDescent="0.25">
      <c r="A21" s="96" t="s">
        <v>993</v>
      </c>
      <c r="B21" s="94"/>
      <c r="C21" s="94"/>
      <c r="D21" s="94"/>
      <c r="E21" s="94"/>
      <c r="F21" s="94"/>
      <c r="G21" s="94"/>
      <c r="H21" s="94"/>
      <c r="I21" s="94"/>
      <c r="J21" s="95"/>
    </row>
    <row r="22" spans="1:10" x14ac:dyDescent="0.25">
      <c r="A22" s="97" t="s">
        <v>155</v>
      </c>
      <c r="B22" s="98"/>
      <c r="C22" s="99">
        <v>1809</v>
      </c>
      <c r="D22" s="100"/>
      <c r="E22" s="100"/>
      <c r="F22" s="100"/>
      <c r="G22" s="98"/>
      <c r="H22" s="98"/>
      <c r="I22" s="98"/>
      <c r="J22" s="101"/>
    </row>
    <row r="23" spans="1:10" x14ac:dyDescent="0.25">
      <c r="A23" s="97" t="s">
        <v>994</v>
      </c>
      <c r="B23" s="98"/>
      <c r="C23" s="102">
        <v>1.695E-2</v>
      </c>
      <c r="D23" s="98"/>
      <c r="E23" s="98"/>
      <c r="F23" s="98"/>
      <c r="G23" s="98"/>
      <c r="H23" s="98"/>
      <c r="I23" s="98"/>
      <c r="J23" s="101"/>
    </row>
    <row r="24" spans="1:10" x14ac:dyDescent="0.25">
      <c r="A24" s="97" t="s">
        <v>201</v>
      </c>
      <c r="B24" s="103" t="s">
        <v>995</v>
      </c>
      <c r="C24" s="99">
        <f>C22*C23</f>
        <v>30.66255</v>
      </c>
      <c r="D24" s="98"/>
      <c r="E24" s="98"/>
      <c r="F24" s="98"/>
      <c r="G24" s="98"/>
      <c r="H24" s="98"/>
      <c r="I24" s="98"/>
      <c r="J24" s="101"/>
    </row>
    <row r="25" spans="1:10" x14ac:dyDescent="0.25">
      <c r="A25" s="104" t="s">
        <v>996</v>
      </c>
      <c r="B25" s="105"/>
      <c r="C25" s="105"/>
      <c r="D25" s="98"/>
      <c r="E25" s="98" t="s">
        <v>997</v>
      </c>
      <c r="F25" s="98"/>
      <c r="G25" s="98"/>
      <c r="H25" s="98"/>
      <c r="I25" s="98"/>
      <c r="J25" s="101"/>
    </row>
    <row r="26" spans="1:10" x14ac:dyDescent="0.25">
      <c r="A26" s="104" t="s">
        <v>998</v>
      </c>
      <c r="B26" s="105"/>
      <c r="C26" s="106">
        <f>ROUND(C24,0)</f>
        <v>31</v>
      </c>
      <c r="D26" s="98"/>
      <c r="E26" s="98" t="s">
        <v>201</v>
      </c>
      <c r="F26" s="107">
        <f>C26</f>
        <v>31</v>
      </c>
      <c r="G26" s="108" t="s">
        <v>83</v>
      </c>
      <c r="H26" s="109">
        <v>0.72350000000000003</v>
      </c>
      <c r="I26" s="110" t="s">
        <v>749</v>
      </c>
      <c r="J26" s="111">
        <f>H26*F26</f>
        <v>22.4285</v>
      </c>
    </row>
    <row r="27" spans="1:10" x14ac:dyDescent="0.25">
      <c r="A27" s="104"/>
      <c r="B27" s="105"/>
      <c r="C27" s="105"/>
      <c r="D27" s="98"/>
      <c r="E27" s="105" t="s">
        <v>996</v>
      </c>
      <c r="F27" s="105"/>
      <c r="G27" s="105"/>
      <c r="H27" s="105"/>
      <c r="I27" s="98"/>
      <c r="J27" s="101"/>
    </row>
    <row r="28" spans="1:10" x14ac:dyDescent="0.25">
      <c r="A28" s="112"/>
      <c r="B28" s="113"/>
      <c r="C28" s="114"/>
      <c r="D28" s="115"/>
      <c r="E28" s="113" t="s">
        <v>1000</v>
      </c>
      <c r="F28" s="116"/>
      <c r="G28" s="116">
        <f>ROUND(J26,0)</f>
        <v>22</v>
      </c>
      <c r="H28" s="119"/>
      <c r="I28" s="115"/>
      <c r="J28" s="118"/>
    </row>
    <row r="31" spans="1:10" x14ac:dyDescent="0.25">
      <c r="A31" s="89" t="s">
        <v>15</v>
      </c>
      <c r="B31" s="90" t="s">
        <v>16</v>
      </c>
      <c r="C31" s="90"/>
      <c r="D31" s="90"/>
      <c r="E31" s="90"/>
      <c r="F31" s="90"/>
      <c r="G31" s="90"/>
      <c r="H31" s="90"/>
      <c r="I31" s="90"/>
      <c r="J31" s="120"/>
    </row>
    <row r="32" spans="1:10" x14ac:dyDescent="0.25">
      <c r="A32" s="92" t="s">
        <v>1001</v>
      </c>
      <c r="B32" s="93"/>
      <c r="C32" s="93"/>
      <c r="D32" s="93"/>
      <c r="E32" s="93"/>
      <c r="F32" s="93"/>
      <c r="G32" s="93"/>
      <c r="H32" s="93"/>
      <c r="I32" s="94"/>
      <c r="J32" s="121"/>
    </row>
    <row r="33" spans="1:20" x14ac:dyDescent="0.25">
      <c r="A33" s="92" t="s">
        <v>1002</v>
      </c>
      <c r="B33" s="93"/>
      <c r="C33" s="93"/>
      <c r="D33" s="93"/>
      <c r="E33" s="93"/>
      <c r="F33" s="93"/>
      <c r="G33" s="93"/>
      <c r="H33" s="93"/>
      <c r="I33" s="94"/>
      <c r="J33" s="121"/>
    </row>
    <row r="34" spans="1:20" x14ac:dyDescent="0.25">
      <c r="A34" s="92" t="s">
        <v>1003</v>
      </c>
      <c r="B34" s="93"/>
      <c r="C34" s="93"/>
      <c r="D34" s="93"/>
      <c r="E34" s="93"/>
      <c r="F34" s="93"/>
      <c r="G34" s="93"/>
      <c r="H34" s="93"/>
      <c r="I34" s="94"/>
      <c r="J34" s="121"/>
    </row>
    <row r="35" spans="1:20" x14ac:dyDescent="0.25">
      <c r="A35" s="92" t="s">
        <v>1004</v>
      </c>
      <c r="B35" s="93"/>
      <c r="C35" s="93"/>
      <c r="D35" s="93"/>
      <c r="E35" s="93"/>
      <c r="F35" s="93"/>
      <c r="G35" s="93"/>
      <c r="H35" s="93"/>
      <c r="I35" s="94"/>
      <c r="J35" s="121"/>
    </row>
    <row r="36" spans="1:20" x14ac:dyDescent="0.25">
      <c r="A36" s="96" t="s">
        <v>993</v>
      </c>
      <c r="B36" s="94"/>
      <c r="C36" s="94"/>
      <c r="D36" s="94"/>
      <c r="E36" s="94"/>
      <c r="F36" s="94"/>
      <c r="G36" s="94"/>
      <c r="H36" s="94"/>
      <c r="I36" s="94"/>
      <c r="J36" s="121"/>
    </row>
    <row r="37" spans="1:20" x14ac:dyDescent="0.25">
      <c r="A37" s="97" t="s">
        <v>1005</v>
      </c>
      <c r="B37" s="98"/>
      <c r="C37" s="122">
        <f>1809*(9/12)</f>
        <v>1356.75</v>
      </c>
      <c r="D37" s="100" t="s">
        <v>1006</v>
      </c>
      <c r="E37" s="93"/>
      <c r="F37" s="93"/>
      <c r="G37" s="93"/>
      <c r="H37" s="93"/>
      <c r="I37" s="93"/>
      <c r="J37" s="121"/>
    </row>
    <row r="38" spans="1:20" x14ac:dyDescent="0.25">
      <c r="A38" s="97" t="s">
        <v>994</v>
      </c>
      <c r="B38" s="98"/>
      <c r="C38" s="102">
        <v>1.695E-2</v>
      </c>
      <c r="D38" s="100"/>
      <c r="E38" s="93"/>
      <c r="F38" s="93"/>
      <c r="G38" s="93"/>
      <c r="H38" s="93"/>
      <c r="I38" s="93"/>
      <c r="J38" s="121"/>
    </row>
    <row r="39" spans="1:20" x14ac:dyDescent="0.25">
      <c r="A39" s="97" t="s">
        <v>201</v>
      </c>
      <c r="B39" s="103" t="s">
        <v>995</v>
      </c>
      <c r="C39" s="99">
        <f>C37*C38</f>
        <v>22.996912500000001</v>
      </c>
      <c r="D39" s="100"/>
      <c r="E39" s="93"/>
      <c r="F39" s="93"/>
      <c r="G39" s="93"/>
      <c r="H39" s="93"/>
      <c r="I39" s="93"/>
      <c r="J39" s="121"/>
    </row>
    <row r="40" spans="1:20" x14ac:dyDescent="0.25">
      <c r="A40" s="104" t="s">
        <v>996</v>
      </c>
      <c r="B40" s="105"/>
      <c r="C40" s="105"/>
      <c r="D40" s="100"/>
      <c r="E40" s="93"/>
      <c r="F40" s="93"/>
      <c r="G40" s="93"/>
      <c r="H40" s="93"/>
      <c r="I40" s="93"/>
      <c r="J40" s="121"/>
    </row>
    <row r="41" spans="1:20" x14ac:dyDescent="0.25">
      <c r="A41" s="104" t="s">
        <v>1007</v>
      </c>
      <c r="B41" s="105"/>
      <c r="C41" s="106">
        <f>ROUND(J39,0)</f>
        <v>0</v>
      </c>
      <c r="D41" s="100"/>
      <c r="E41" s="93"/>
      <c r="F41" s="93"/>
      <c r="G41" s="93"/>
      <c r="H41" s="93"/>
      <c r="I41" s="93"/>
      <c r="J41" s="121"/>
    </row>
    <row r="42" spans="1:20" x14ac:dyDescent="0.25">
      <c r="A42" s="96" t="s">
        <v>993</v>
      </c>
      <c r="B42" s="98"/>
      <c r="C42" s="122"/>
      <c r="D42" s="100"/>
      <c r="E42" s="93"/>
      <c r="F42" s="93"/>
      <c r="G42" s="93"/>
      <c r="H42" s="93"/>
      <c r="I42" s="93"/>
      <c r="J42" s="121"/>
      <c r="O42" s="123"/>
      <c r="P42" s="123"/>
      <c r="Q42" s="123"/>
      <c r="R42" s="123"/>
      <c r="S42" s="123"/>
      <c r="T42" s="123"/>
    </row>
    <row r="43" spans="1:20" x14ac:dyDescent="0.25">
      <c r="A43" s="97" t="s">
        <v>1008</v>
      </c>
      <c r="B43" s="98"/>
      <c r="C43" s="122">
        <f>1809*(9/12)</f>
        <v>1356.75</v>
      </c>
      <c r="D43" s="100" t="s">
        <v>1009</v>
      </c>
      <c r="E43" s="93"/>
      <c r="F43" s="93"/>
      <c r="G43" s="93"/>
      <c r="H43" s="93"/>
      <c r="I43" s="93"/>
      <c r="J43" s="121"/>
      <c r="O43" s="123"/>
      <c r="P43" s="123"/>
      <c r="Q43" s="123"/>
      <c r="R43" s="123"/>
      <c r="S43" s="123"/>
      <c r="T43" s="123"/>
    </row>
    <row r="44" spans="1:20" x14ac:dyDescent="0.25">
      <c r="A44" s="97" t="s">
        <v>994</v>
      </c>
      <c r="B44" s="98"/>
      <c r="C44" s="102">
        <v>1.695E-2</v>
      </c>
      <c r="D44" s="100"/>
      <c r="E44" s="93"/>
      <c r="F44" s="93"/>
      <c r="G44" s="93"/>
      <c r="H44" s="93"/>
      <c r="I44" s="93"/>
      <c r="J44" s="121"/>
      <c r="O44" s="123"/>
      <c r="P44" s="123"/>
      <c r="Q44" s="123"/>
      <c r="R44" s="123"/>
      <c r="S44" s="123"/>
      <c r="T44" s="123"/>
    </row>
    <row r="45" spans="1:20" x14ac:dyDescent="0.25">
      <c r="A45" s="97" t="s">
        <v>201</v>
      </c>
      <c r="B45" s="103" t="s">
        <v>995</v>
      </c>
      <c r="C45" s="99">
        <f>C43*C44</f>
        <v>22.996912500000001</v>
      </c>
      <c r="D45" s="100"/>
      <c r="E45" s="93"/>
      <c r="F45" s="93"/>
      <c r="G45" s="93"/>
      <c r="H45" s="93"/>
      <c r="I45" s="93"/>
      <c r="J45" s="121"/>
    </row>
    <row r="46" spans="1:20" x14ac:dyDescent="0.25">
      <c r="A46" s="104" t="s">
        <v>996</v>
      </c>
      <c r="B46" s="105"/>
      <c r="C46" s="105"/>
      <c r="D46" s="100"/>
      <c r="E46" s="98"/>
      <c r="F46" s="98"/>
      <c r="G46" s="98"/>
      <c r="H46" s="98"/>
      <c r="I46" s="98"/>
      <c r="J46" s="101"/>
    </row>
    <row r="47" spans="1:20" x14ac:dyDescent="0.25">
      <c r="A47" s="104" t="s">
        <v>1010</v>
      </c>
      <c r="B47" s="105"/>
      <c r="C47" s="106">
        <f>ROUND(J45,0)</f>
        <v>0</v>
      </c>
      <c r="D47" s="100"/>
      <c r="E47" s="98"/>
      <c r="F47" s="107"/>
      <c r="G47" s="108"/>
      <c r="H47" s="109"/>
      <c r="I47" s="110"/>
      <c r="J47" s="111"/>
    </row>
    <row r="48" spans="1:20" x14ac:dyDescent="0.25">
      <c r="A48" s="104"/>
      <c r="B48" s="105"/>
      <c r="C48" s="106"/>
      <c r="D48" s="100"/>
      <c r="E48" s="98"/>
      <c r="F48" s="107"/>
      <c r="G48" s="108"/>
      <c r="H48" s="109"/>
      <c r="I48" s="110"/>
      <c r="J48" s="111"/>
    </row>
    <row r="49" spans="1:13" x14ac:dyDescent="0.25">
      <c r="A49" s="104" t="s">
        <v>1011</v>
      </c>
      <c r="B49" s="105"/>
      <c r="C49" s="124">
        <f>C41-C47</f>
        <v>0</v>
      </c>
      <c r="D49" s="100"/>
      <c r="E49" s="98" t="s">
        <v>997</v>
      </c>
      <c r="F49" s="98"/>
      <c r="G49" s="98"/>
      <c r="H49" s="98"/>
      <c r="I49" s="98"/>
      <c r="J49" s="101"/>
    </row>
    <row r="50" spans="1:13" x14ac:dyDescent="0.25">
      <c r="A50" s="104"/>
      <c r="B50" s="105"/>
      <c r="C50" s="124"/>
      <c r="D50" s="100"/>
      <c r="E50" s="98" t="s">
        <v>201</v>
      </c>
      <c r="F50" s="107">
        <f>C50</f>
        <v>0</v>
      </c>
      <c r="G50" s="108" t="s">
        <v>83</v>
      </c>
      <c r="H50" s="109">
        <v>0.72350000000000003</v>
      </c>
      <c r="I50" s="110" t="s">
        <v>749</v>
      </c>
      <c r="J50" s="111">
        <f>H50*F50</f>
        <v>0</v>
      </c>
    </row>
    <row r="51" spans="1:13" x14ac:dyDescent="0.25">
      <c r="A51" s="104"/>
      <c r="B51" s="105"/>
      <c r="C51" s="124"/>
      <c r="D51" s="100"/>
      <c r="E51" s="105" t="s">
        <v>996</v>
      </c>
      <c r="F51" s="105"/>
      <c r="G51" s="105"/>
      <c r="H51" s="109"/>
      <c r="I51" s="110"/>
      <c r="J51" s="111"/>
    </row>
    <row r="52" spans="1:13" x14ac:dyDescent="0.25">
      <c r="A52" s="112"/>
      <c r="B52" s="113"/>
      <c r="C52" s="125"/>
      <c r="D52" s="126"/>
      <c r="E52" s="113" t="s">
        <v>1000</v>
      </c>
      <c r="F52" s="116"/>
      <c r="G52" s="116">
        <f>ROUND(J49,0)</f>
        <v>0</v>
      </c>
      <c r="H52" s="126"/>
      <c r="I52" s="126"/>
      <c r="J52" s="127"/>
    </row>
    <row r="55" spans="1:13" x14ac:dyDescent="0.25">
      <c r="A55" s="89" t="s">
        <v>17</v>
      </c>
      <c r="B55" s="90" t="s">
        <v>18</v>
      </c>
      <c r="C55" s="90"/>
      <c r="D55" s="90"/>
      <c r="E55" s="90"/>
      <c r="F55" s="90"/>
      <c r="G55" s="90"/>
      <c r="H55" s="90"/>
      <c r="I55" s="90"/>
      <c r="J55" s="91"/>
    </row>
    <row r="56" spans="1:13" x14ac:dyDescent="0.25">
      <c r="A56" s="92" t="s">
        <v>992</v>
      </c>
      <c r="B56" s="94"/>
      <c r="C56" s="94"/>
      <c r="D56" s="94"/>
      <c r="E56" s="94"/>
      <c r="F56" s="94"/>
      <c r="G56" s="94"/>
      <c r="H56" s="94"/>
      <c r="I56" s="94"/>
      <c r="J56" s="95"/>
    </row>
    <row r="57" spans="1:13" x14ac:dyDescent="0.25">
      <c r="A57" s="96" t="s">
        <v>1012</v>
      </c>
      <c r="B57" s="94"/>
      <c r="C57" s="94"/>
      <c r="D57" s="94"/>
      <c r="E57" s="94"/>
      <c r="F57" s="94"/>
      <c r="G57" s="94"/>
      <c r="H57" s="94"/>
      <c r="I57" s="94"/>
      <c r="J57" s="95"/>
    </row>
    <row r="58" spans="1:13" x14ac:dyDescent="0.25">
      <c r="A58" s="97" t="s">
        <v>155</v>
      </c>
      <c r="B58" s="98"/>
      <c r="C58" s="99">
        <f>1387*(7/12)</f>
        <v>809.08333333333337</v>
      </c>
      <c r="D58" s="98"/>
      <c r="E58" s="98"/>
      <c r="F58" s="98"/>
      <c r="G58" s="98"/>
      <c r="H58" s="98"/>
      <c r="I58" s="98"/>
      <c r="J58" s="101"/>
    </row>
    <row r="59" spans="1:13" x14ac:dyDescent="0.25">
      <c r="A59" s="97" t="s">
        <v>994</v>
      </c>
      <c r="B59" s="98"/>
      <c r="C59" s="102">
        <v>1.695E-2</v>
      </c>
      <c r="D59" s="98"/>
      <c r="E59" s="98"/>
      <c r="F59" s="98"/>
      <c r="G59" s="98"/>
      <c r="H59" s="98"/>
      <c r="I59" s="98"/>
      <c r="J59" s="101"/>
      <c r="K59" s="1"/>
      <c r="L59" s="1"/>
      <c r="M59" s="1"/>
    </row>
    <row r="60" spans="1:13" x14ac:dyDescent="0.25">
      <c r="A60" s="97" t="s">
        <v>201</v>
      </c>
      <c r="B60" s="103" t="s">
        <v>995</v>
      </c>
      <c r="C60" s="99">
        <f>C58*C59</f>
        <v>13.713962500000001</v>
      </c>
      <c r="D60" s="98"/>
      <c r="E60" s="98"/>
      <c r="F60" s="98"/>
      <c r="G60" s="98"/>
      <c r="H60" s="98"/>
      <c r="I60" s="98"/>
      <c r="J60" s="101"/>
      <c r="K60" s="1"/>
      <c r="L60" s="1"/>
      <c r="M60" s="1"/>
    </row>
    <row r="61" spans="1:13" x14ac:dyDescent="0.25">
      <c r="A61" s="104" t="s">
        <v>996</v>
      </c>
      <c r="B61" s="105"/>
      <c r="C61" s="105"/>
      <c r="D61" s="98"/>
      <c r="E61" s="98" t="s">
        <v>997</v>
      </c>
      <c r="F61" s="98"/>
      <c r="G61" s="98"/>
      <c r="H61" s="98"/>
      <c r="I61" s="98"/>
      <c r="J61" s="101"/>
      <c r="K61" s="1"/>
      <c r="L61" s="1"/>
      <c r="M61" s="1"/>
    </row>
    <row r="62" spans="1:13" x14ac:dyDescent="0.25">
      <c r="A62" s="104" t="s">
        <v>1011</v>
      </c>
      <c r="B62" s="105"/>
      <c r="C62" s="106">
        <f>ROUND(C60,0)</f>
        <v>14</v>
      </c>
      <c r="D62" s="98"/>
      <c r="E62" s="98" t="s">
        <v>201</v>
      </c>
      <c r="F62" s="107">
        <f>C62</f>
        <v>14</v>
      </c>
      <c r="G62" s="108" t="s">
        <v>83</v>
      </c>
      <c r="H62" s="109">
        <v>0.72350000000000003</v>
      </c>
      <c r="I62" s="110" t="s">
        <v>749</v>
      </c>
      <c r="J62" s="111">
        <f>H62*F62</f>
        <v>10.129000000000001</v>
      </c>
    </row>
    <row r="63" spans="1:13" x14ac:dyDescent="0.25">
      <c r="A63" s="104"/>
      <c r="B63" s="105"/>
      <c r="C63" s="105"/>
      <c r="D63" s="128"/>
      <c r="E63" s="105" t="s">
        <v>996</v>
      </c>
      <c r="F63" s="105"/>
      <c r="G63" s="105"/>
      <c r="H63" s="105"/>
      <c r="I63" s="98"/>
      <c r="J63" s="101"/>
    </row>
    <row r="64" spans="1:13" x14ac:dyDescent="0.25">
      <c r="A64" s="112"/>
      <c r="B64" s="113"/>
      <c r="C64" s="114"/>
      <c r="D64" s="115"/>
      <c r="E64" s="113" t="s">
        <v>1000</v>
      </c>
      <c r="F64" s="116"/>
      <c r="G64" s="116">
        <f>ROUND(J62,0)</f>
        <v>10</v>
      </c>
      <c r="H64" s="119"/>
      <c r="I64" s="115"/>
      <c r="J64" s="118"/>
    </row>
    <row r="67" spans="1:10" x14ac:dyDescent="0.25">
      <c r="A67" s="89" t="s">
        <v>20</v>
      </c>
      <c r="B67" s="90" t="s">
        <v>21</v>
      </c>
      <c r="C67" s="90"/>
      <c r="D67" s="90"/>
      <c r="E67" s="90"/>
      <c r="F67" s="90"/>
      <c r="G67" s="90"/>
      <c r="H67" s="90"/>
      <c r="I67" s="90"/>
      <c r="J67" s="91"/>
    </row>
    <row r="68" spans="1:10" x14ac:dyDescent="0.25">
      <c r="A68" s="92" t="s">
        <v>1013</v>
      </c>
      <c r="B68" s="94"/>
      <c r="C68" s="94"/>
      <c r="D68" s="94"/>
      <c r="E68" s="94"/>
      <c r="F68" s="94"/>
      <c r="G68" s="94"/>
      <c r="H68" s="94"/>
      <c r="I68" s="94"/>
      <c r="J68" s="95"/>
    </row>
    <row r="69" spans="1:10" x14ac:dyDescent="0.25">
      <c r="A69" s="96" t="s">
        <v>993</v>
      </c>
      <c r="B69" s="94"/>
      <c r="C69" s="94"/>
      <c r="D69" s="94"/>
      <c r="E69" s="94"/>
      <c r="F69" s="94"/>
      <c r="G69" s="94"/>
      <c r="H69" s="94"/>
      <c r="I69" s="94"/>
      <c r="J69" s="95"/>
    </row>
    <row r="70" spans="1:10" x14ac:dyDescent="0.25">
      <c r="A70" s="97" t="s">
        <v>1005</v>
      </c>
      <c r="B70" s="98"/>
      <c r="C70" s="122">
        <f>1809*(6/12)</f>
        <v>904.5</v>
      </c>
      <c r="D70" s="98"/>
      <c r="E70" s="98"/>
      <c r="F70" s="98"/>
      <c r="G70" s="98"/>
      <c r="H70" s="98"/>
      <c r="I70" s="98"/>
      <c r="J70" s="101"/>
    </row>
    <row r="71" spans="1:10" x14ac:dyDescent="0.25">
      <c r="A71" s="97" t="s">
        <v>994</v>
      </c>
      <c r="B71" s="98"/>
      <c r="C71" s="102">
        <v>1.695E-2</v>
      </c>
      <c r="D71" s="98"/>
      <c r="E71" s="98"/>
      <c r="F71" s="98"/>
      <c r="G71" s="98"/>
      <c r="H71" s="98"/>
      <c r="I71" s="98"/>
      <c r="J71" s="101"/>
    </row>
    <row r="72" spans="1:10" x14ac:dyDescent="0.25">
      <c r="A72" s="97" t="s">
        <v>1014</v>
      </c>
      <c r="B72" s="98"/>
      <c r="C72" s="122">
        <f>C70*C71</f>
        <v>15.331275</v>
      </c>
      <c r="D72" s="98"/>
      <c r="E72" s="98"/>
      <c r="F72" s="98"/>
      <c r="G72" s="98"/>
      <c r="H72" s="98"/>
      <c r="I72" s="98"/>
      <c r="J72" s="101"/>
    </row>
    <row r="73" spans="1:10" x14ac:dyDescent="0.25">
      <c r="A73" s="104" t="s">
        <v>996</v>
      </c>
      <c r="B73" s="105"/>
      <c r="C73" s="124"/>
      <c r="D73" s="98"/>
      <c r="E73" s="98"/>
      <c r="F73" s="98"/>
      <c r="G73" s="98"/>
      <c r="H73" s="98"/>
      <c r="I73" s="98"/>
      <c r="J73" s="101"/>
    </row>
    <row r="74" spans="1:10" x14ac:dyDescent="0.25">
      <c r="A74" s="104" t="s">
        <v>1015</v>
      </c>
      <c r="B74" s="105" t="s">
        <v>995</v>
      </c>
      <c r="C74" s="124">
        <f>ROUND(C72,0)</f>
        <v>15</v>
      </c>
      <c r="D74" s="98"/>
      <c r="E74" s="98"/>
      <c r="F74" s="98"/>
      <c r="G74" s="98"/>
      <c r="H74" s="98"/>
      <c r="I74" s="98"/>
      <c r="J74" s="101"/>
    </row>
    <row r="75" spans="1:10" x14ac:dyDescent="0.25">
      <c r="A75" s="96" t="s">
        <v>1012</v>
      </c>
      <c r="B75" s="105"/>
      <c r="C75" s="124"/>
      <c r="D75" s="98"/>
      <c r="E75" s="98"/>
      <c r="F75" s="98"/>
      <c r="G75" s="98"/>
      <c r="H75" s="98"/>
      <c r="I75" s="98"/>
      <c r="J75" s="101"/>
    </row>
    <row r="76" spans="1:10" x14ac:dyDescent="0.25">
      <c r="A76" s="97" t="s">
        <v>1008</v>
      </c>
      <c r="B76" s="98"/>
      <c r="C76" s="99">
        <f>1387*(6/12)</f>
        <v>693.5</v>
      </c>
      <c r="D76" s="98"/>
      <c r="E76" s="98"/>
      <c r="F76" s="98"/>
      <c r="G76" s="98"/>
      <c r="H76" s="98"/>
      <c r="I76" s="98"/>
      <c r="J76" s="101"/>
    </row>
    <row r="77" spans="1:10" x14ac:dyDescent="0.25">
      <c r="A77" s="97" t="s">
        <v>994</v>
      </c>
      <c r="B77" s="98"/>
      <c r="C77" s="102">
        <v>1.695E-2</v>
      </c>
      <c r="D77" s="98"/>
      <c r="E77" s="98"/>
      <c r="F77" s="98"/>
      <c r="G77" s="98"/>
      <c r="H77" s="98"/>
      <c r="I77" s="98"/>
      <c r="J77" s="101"/>
    </row>
    <row r="78" spans="1:10" x14ac:dyDescent="0.25">
      <c r="A78" s="97" t="s">
        <v>1016</v>
      </c>
      <c r="B78" s="98"/>
      <c r="C78" s="122">
        <f>C76*C77</f>
        <v>11.754825</v>
      </c>
      <c r="D78" s="98"/>
      <c r="E78" s="98"/>
      <c r="F78" s="98"/>
      <c r="G78" s="98"/>
      <c r="H78" s="98"/>
      <c r="I78" s="98"/>
      <c r="J78" s="101"/>
    </row>
    <row r="79" spans="1:10" x14ac:dyDescent="0.25">
      <c r="A79" s="104" t="s">
        <v>996</v>
      </c>
      <c r="B79" s="105"/>
      <c r="C79" s="124"/>
      <c r="D79" s="98"/>
      <c r="E79" s="98"/>
      <c r="F79" s="98"/>
      <c r="G79" s="98"/>
      <c r="H79" s="98"/>
      <c r="I79" s="98"/>
      <c r="J79" s="101"/>
    </row>
    <row r="80" spans="1:10" x14ac:dyDescent="0.25">
      <c r="A80" s="104" t="s">
        <v>389</v>
      </c>
      <c r="B80" s="105" t="s">
        <v>995</v>
      </c>
      <c r="C80" s="124">
        <f>ROUND(C78,0)</f>
        <v>12</v>
      </c>
      <c r="D80" s="98"/>
      <c r="E80" s="98"/>
      <c r="F80" s="98"/>
      <c r="G80" s="98"/>
      <c r="H80" s="98"/>
      <c r="I80" s="98"/>
      <c r="J80" s="101"/>
    </row>
    <row r="81" spans="1:13" x14ac:dyDescent="0.25">
      <c r="A81" s="97"/>
      <c r="B81" s="98"/>
      <c r="C81" s="122"/>
      <c r="D81" s="98"/>
      <c r="E81" s="98" t="s">
        <v>997</v>
      </c>
      <c r="F81" s="98"/>
      <c r="G81" s="98"/>
      <c r="H81" s="98"/>
      <c r="I81" s="98"/>
      <c r="J81" s="101"/>
    </row>
    <row r="82" spans="1:13" x14ac:dyDescent="0.25">
      <c r="A82" s="104" t="s">
        <v>1011</v>
      </c>
      <c r="B82" s="105"/>
      <c r="C82" s="124">
        <f>C74-C80</f>
        <v>3</v>
      </c>
      <c r="D82" s="98"/>
      <c r="E82" s="98" t="s">
        <v>201</v>
      </c>
      <c r="F82" s="107">
        <f>C82</f>
        <v>3</v>
      </c>
      <c r="G82" s="108" t="s">
        <v>83</v>
      </c>
      <c r="H82" s="109">
        <v>0.72350000000000003</v>
      </c>
      <c r="I82" s="110" t="s">
        <v>749</v>
      </c>
      <c r="J82" s="111">
        <f>H82*F82</f>
        <v>2.1705000000000001</v>
      </c>
    </row>
    <row r="83" spans="1:13" x14ac:dyDescent="0.25">
      <c r="A83" s="129"/>
      <c r="B83" s="130"/>
      <c r="C83" s="130"/>
      <c r="D83" s="98"/>
      <c r="E83" s="105" t="s">
        <v>996</v>
      </c>
      <c r="F83" s="105"/>
      <c r="G83" s="105"/>
      <c r="H83" s="105"/>
      <c r="I83" s="98"/>
      <c r="J83" s="101"/>
    </row>
    <row r="84" spans="1:13" x14ac:dyDescent="0.25">
      <c r="A84" s="112"/>
      <c r="B84" s="113"/>
      <c r="C84" s="125"/>
      <c r="D84" s="131"/>
      <c r="E84" s="113" t="s">
        <v>1000</v>
      </c>
      <c r="F84" s="116"/>
      <c r="G84" s="116">
        <f>ROUND(J82,0)</f>
        <v>2</v>
      </c>
      <c r="H84" s="113"/>
      <c r="I84" s="115"/>
      <c r="J84" s="118"/>
    </row>
    <row r="86" spans="1:13" x14ac:dyDescent="0.25">
      <c r="B86" s="1"/>
      <c r="C86" s="1"/>
      <c r="D86" s="1"/>
      <c r="E86" s="1"/>
      <c r="F86" s="1"/>
      <c r="G86" s="1"/>
      <c r="H86" s="1"/>
      <c r="I86" s="1"/>
      <c r="J86" s="1"/>
      <c r="K86" s="1"/>
      <c r="L86" s="1"/>
      <c r="M86" s="1"/>
    </row>
    <row r="87" spans="1:13" x14ac:dyDescent="0.25">
      <c r="A87" s="89" t="s">
        <v>22</v>
      </c>
      <c r="B87" s="90" t="s">
        <v>23</v>
      </c>
      <c r="C87" s="90"/>
      <c r="D87" s="90"/>
      <c r="E87" s="90"/>
      <c r="F87" s="90"/>
      <c r="G87" s="90"/>
      <c r="H87" s="90"/>
      <c r="I87" s="90"/>
      <c r="J87" s="120"/>
    </row>
    <row r="88" spans="1:13" x14ac:dyDescent="0.25">
      <c r="A88" s="465" t="s">
        <v>1017</v>
      </c>
      <c r="B88" s="466"/>
      <c r="C88" s="466"/>
      <c r="D88" s="466"/>
      <c r="E88" s="466"/>
      <c r="F88" s="466"/>
      <c r="G88" s="466"/>
      <c r="H88" s="466"/>
      <c r="I88" s="466"/>
      <c r="J88" s="467"/>
    </row>
    <row r="89" spans="1:13" x14ac:dyDescent="0.25">
      <c r="A89" s="465"/>
      <c r="B89" s="466"/>
      <c r="C89" s="466"/>
      <c r="D89" s="466"/>
      <c r="E89" s="466"/>
      <c r="F89" s="466"/>
      <c r="G89" s="466"/>
      <c r="H89" s="466"/>
      <c r="I89" s="466"/>
      <c r="J89" s="467"/>
    </row>
    <row r="90" spans="1:13" x14ac:dyDescent="0.25">
      <c r="A90" s="97" t="s">
        <v>155</v>
      </c>
      <c r="B90" s="98"/>
      <c r="C90" s="99">
        <v>100</v>
      </c>
      <c r="D90" s="98"/>
      <c r="E90" s="98"/>
      <c r="F90" s="98"/>
      <c r="G90" s="98"/>
      <c r="H90" s="98"/>
      <c r="I90" s="98"/>
      <c r="J90" s="101"/>
      <c r="K90" s="2"/>
      <c r="L90" s="1"/>
      <c r="M90" s="1"/>
    </row>
    <row r="91" spans="1:13" x14ac:dyDescent="0.25">
      <c r="A91" s="97" t="s">
        <v>994</v>
      </c>
      <c r="B91" s="98"/>
      <c r="C91" s="102">
        <v>1.695E-2</v>
      </c>
      <c r="D91" s="98"/>
      <c r="E91" s="98"/>
      <c r="F91" s="98"/>
      <c r="G91" s="98"/>
      <c r="H91" s="98"/>
      <c r="I91" s="98"/>
      <c r="J91" s="101"/>
      <c r="K91" s="2"/>
      <c r="L91" s="1"/>
      <c r="M91" s="1"/>
    </row>
    <row r="92" spans="1:13" x14ac:dyDescent="0.25">
      <c r="A92" s="97" t="s">
        <v>201</v>
      </c>
      <c r="B92" s="103" t="s">
        <v>995</v>
      </c>
      <c r="C92" s="99">
        <f>C90*C91</f>
        <v>1.6950000000000001</v>
      </c>
      <c r="D92" s="98"/>
      <c r="E92" s="98"/>
      <c r="F92" s="98"/>
      <c r="G92" s="98"/>
      <c r="H92" s="98"/>
      <c r="I92" s="98"/>
      <c r="J92" s="101"/>
    </row>
    <row r="93" spans="1:13" x14ac:dyDescent="0.25">
      <c r="A93" s="104" t="s">
        <v>996</v>
      </c>
      <c r="B93" s="105"/>
      <c r="C93" s="105"/>
      <c r="D93" s="98"/>
      <c r="E93" s="98" t="s">
        <v>997</v>
      </c>
      <c r="F93" s="98"/>
      <c r="G93" s="98"/>
      <c r="H93" s="98"/>
      <c r="I93" s="98"/>
      <c r="J93" s="101"/>
    </row>
    <row r="94" spans="1:13" x14ac:dyDescent="0.25">
      <c r="A94" s="104" t="s">
        <v>1011</v>
      </c>
      <c r="B94" s="105"/>
      <c r="C94" s="106">
        <f>ROUND(C92,0)</f>
        <v>2</v>
      </c>
      <c r="D94" s="98"/>
      <c r="E94" s="98" t="s">
        <v>201</v>
      </c>
      <c r="F94" s="107">
        <f>C94</f>
        <v>2</v>
      </c>
      <c r="G94" s="108" t="s">
        <v>83</v>
      </c>
      <c r="H94" s="109">
        <v>0.72350000000000003</v>
      </c>
      <c r="I94" s="110" t="s">
        <v>749</v>
      </c>
      <c r="J94" s="111">
        <f>H94*F94</f>
        <v>1.4470000000000001</v>
      </c>
    </row>
    <row r="95" spans="1:13" x14ac:dyDescent="0.25">
      <c r="A95" s="104"/>
      <c r="B95" s="105"/>
      <c r="C95" s="105"/>
      <c r="D95" s="98"/>
      <c r="E95" s="105" t="s">
        <v>996</v>
      </c>
      <c r="F95" s="105"/>
      <c r="G95" s="105"/>
      <c r="H95" s="105"/>
      <c r="I95" s="98"/>
      <c r="J95" s="101"/>
    </row>
    <row r="96" spans="1:13" x14ac:dyDescent="0.25">
      <c r="A96" s="112"/>
      <c r="B96" s="113"/>
      <c r="C96" s="114"/>
      <c r="D96" s="115"/>
      <c r="E96" s="113" t="s">
        <v>1000</v>
      </c>
      <c r="F96" s="116"/>
      <c r="G96" s="116">
        <f>ROUND(J94,0)</f>
        <v>1</v>
      </c>
      <c r="H96" s="113"/>
      <c r="I96" s="115"/>
      <c r="J96" s="118"/>
    </row>
    <row r="99" spans="2:13" x14ac:dyDescent="0.25">
      <c r="B99" s="1"/>
      <c r="C99" s="1"/>
      <c r="D99" s="1"/>
      <c r="E99" s="1"/>
      <c r="F99" s="1"/>
      <c r="G99" s="1"/>
      <c r="H99" s="1"/>
      <c r="I99" s="1"/>
      <c r="J99" s="1"/>
      <c r="K99" s="1"/>
      <c r="L99" s="1"/>
      <c r="M99" s="1"/>
    </row>
    <row r="100" spans="2:13" x14ac:dyDescent="0.25">
      <c r="B100" s="1"/>
      <c r="C100" s="1"/>
      <c r="D100" s="1"/>
      <c r="E100" s="1"/>
      <c r="F100" s="1"/>
      <c r="G100" s="1"/>
      <c r="H100" s="1"/>
      <c r="I100" s="1"/>
      <c r="J100" s="1"/>
      <c r="K100" s="1"/>
      <c r="L100" s="1"/>
      <c r="M100" s="1"/>
    </row>
    <row r="101" spans="2:13" x14ac:dyDescent="0.25">
      <c r="B101" s="1"/>
      <c r="C101" s="1"/>
      <c r="D101" s="1"/>
      <c r="E101" s="1"/>
      <c r="F101" s="1"/>
      <c r="G101" s="1"/>
      <c r="H101" s="1"/>
      <c r="I101" s="1"/>
      <c r="J101" s="1"/>
      <c r="K101" s="1"/>
      <c r="L101" s="1"/>
      <c r="M101" s="1"/>
    </row>
  </sheetData>
  <mergeCells count="3">
    <mergeCell ref="A1:J1"/>
    <mergeCell ref="A2:J6"/>
    <mergeCell ref="A88:J8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8"/>
  <sheetViews>
    <sheetView workbookViewId="0">
      <selection activeCell="A6" sqref="A6"/>
    </sheetView>
  </sheetViews>
  <sheetFormatPr defaultRowHeight="15" x14ac:dyDescent="0.25"/>
  <cols>
    <col min="1" max="16384" width="9.140625" style="84"/>
  </cols>
  <sheetData>
    <row r="1" spans="1:13" ht="21" customHeight="1" x14ac:dyDescent="0.3">
      <c r="A1" s="468" t="s">
        <v>1071</v>
      </c>
      <c r="B1" s="469"/>
      <c r="C1" s="469"/>
      <c r="D1" s="469"/>
      <c r="E1" s="469"/>
      <c r="F1" s="469"/>
      <c r="G1" s="469"/>
      <c r="H1" s="469"/>
      <c r="I1" s="469"/>
      <c r="J1"/>
      <c r="K1"/>
    </row>
    <row r="2" spans="1:13" ht="21" customHeight="1" x14ac:dyDescent="0.25">
      <c r="A2" s="470" t="s">
        <v>1073</v>
      </c>
      <c r="B2" s="469"/>
      <c r="C2" s="469"/>
      <c r="D2" s="469"/>
      <c r="E2" s="469"/>
      <c r="F2" s="469"/>
      <c r="G2" s="469"/>
      <c r="H2" s="469"/>
      <c r="I2" s="469"/>
      <c r="J2" s="469"/>
      <c r="K2" s="469"/>
    </row>
    <row r="3" spans="1:13" ht="15" customHeight="1" x14ac:dyDescent="0.25">
      <c r="A3" s="469"/>
      <c r="B3" s="469"/>
      <c r="C3" s="469"/>
      <c r="D3" s="469"/>
      <c r="E3" s="469"/>
      <c r="F3" s="469"/>
      <c r="G3" s="469"/>
      <c r="H3" s="469"/>
      <c r="I3" s="469"/>
      <c r="J3" s="469"/>
      <c r="K3" s="469"/>
      <c r="L3" s="85"/>
      <c r="M3" s="85"/>
    </row>
    <row r="4" spans="1:13" ht="14.25" customHeight="1" x14ac:dyDescent="0.25">
      <c r="A4" s="469"/>
      <c r="B4" s="469"/>
      <c r="C4" s="469"/>
      <c r="D4" s="469"/>
      <c r="E4" s="469"/>
      <c r="F4" s="469"/>
      <c r="G4" s="469"/>
      <c r="H4" s="469"/>
      <c r="I4" s="469"/>
      <c r="J4" s="469"/>
      <c r="K4" s="469"/>
      <c r="L4" s="85"/>
      <c r="M4" s="85"/>
    </row>
    <row r="5" spans="1:13" ht="14.25" customHeight="1" x14ac:dyDescent="0.25">
      <c r="A5" s="469"/>
      <c r="B5" s="469"/>
      <c r="C5" s="469"/>
      <c r="D5" s="469"/>
      <c r="E5" s="469"/>
      <c r="F5" s="469"/>
      <c r="G5" s="469"/>
      <c r="H5" s="469"/>
      <c r="I5" s="469"/>
      <c r="J5" s="469"/>
      <c r="K5" s="469"/>
      <c r="L5" s="85"/>
      <c r="M5" s="85"/>
    </row>
    <row r="6" spans="1:13" x14ac:dyDescent="0.25">
      <c r="A6" s="132"/>
      <c r="B6" s="132"/>
      <c r="C6" s="132"/>
      <c r="D6" s="132"/>
      <c r="E6" s="132"/>
      <c r="F6" s="132"/>
      <c r="G6" s="132"/>
      <c r="H6" s="132"/>
      <c r="I6" s="132"/>
      <c r="J6"/>
      <c r="K6"/>
      <c r="L6" s="85"/>
      <c r="M6" s="85"/>
    </row>
    <row r="7" spans="1:13" x14ac:dyDescent="0.25">
      <c r="A7"/>
      <c r="B7"/>
      <c r="C7"/>
      <c r="D7"/>
      <c r="E7"/>
      <c r="F7"/>
      <c r="G7"/>
      <c r="H7"/>
      <c r="I7"/>
      <c r="J7"/>
      <c r="K7"/>
    </row>
    <row r="8" spans="1:13" x14ac:dyDescent="0.25">
      <c r="A8" s="132" t="s">
        <v>10</v>
      </c>
      <c r="B8" s="132" t="s">
        <v>11</v>
      </c>
      <c r="C8" s="132"/>
      <c r="D8" s="132"/>
      <c r="E8" s="132"/>
      <c r="F8" s="132"/>
      <c r="G8" s="132"/>
      <c r="H8" s="132"/>
      <c r="I8" s="132"/>
      <c r="J8"/>
      <c r="K8"/>
    </row>
    <row r="9" spans="1:13" ht="15" customHeight="1" x14ac:dyDescent="0.25">
      <c r="A9" s="132"/>
      <c r="B9" s="132"/>
      <c r="C9" s="132"/>
      <c r="D9" s="132"/>
      <c r="E9" s="132"/>
      <c r="F9" s="132"/>
      <c r="G9" s="132"/>
      <c r="H9" s="132"/>
      <c r="I9" s="132"/>
      <c r="J9" s="132"/>
      <c r="K9" s="132"/>
    </row>
    <row r="10" spans="1:13" ht="15" customHeight="1" x14ac:dyDescent="0.25">
      <c r="A10" s="132"/>
      <c r="B10" s="132" t="s">
        <v>960</v>
      </c>
      <c r="C10" s="132"/>
      <c r="D10" s="132"/>
      <c r="E10" s="132"/>
      <c r="F10" s="132"/>
      <c r="G10" s="132"/>
      <c r="H10" s="132"/>
      <c r="I10" s="132"/>
      <c r="J10" s="132"/>
      <c r="K10" s="132"/>
    </row>
    <row r="11" spans="1:13" ht="15" customHeight="1" x14ac:dyDescent="0.25">
      <c r="A11" s="132"/>
      <c r="B11" s="132" t="s">
        <v>961</v>
      </c>
      <c r="C11" s="132"/>
      <c r="D11" s="132"/>
      <c r="E11" s="132"/>
      <c r="F11" s="132"/>
      <c r="G11" s="132"/>
      <c r="H11" s="132"/>
      <c r="I11" s="132"/>
      <c r="J11" s="132"/>
      <c r="K11" s="132"/>
    </row>
    <row r="12" spans="1:13" ht="15" customHeight="1" x14ac:dyDescent="0.25">
      <c r="A12" s="132"/>
      <c r="B12" s="133" t="s">
        <v>962</v>
      </c>
      <c r="C12" s="134"/>
      <c r="D12" s="134"/>
      <c r="E12" s="132"/>
      <c r="F12" s="132"/>
      <c r="G12" s="132"/>
      <c r="H12" s="132"/>
      <c r="I12" s="132"/>
      <c r="J12" s="132"/>
      <c r="K12" s="132"/>
    </row>
    <row r="13" spans="1:13" ht="15" customHeight="1" x14ac:dyDescent="0.25">
      <c r="A13"/>
      <c r="B13" s="132" t="s">
        <v>963</v>
      </c>
      <c r="C13"/>
      <c r="D13"/>
      <c r="E13"/>
      <c r="F13"/>
      <c r="G13"/>
      <c r="H13"/>
      <c r="I13"/>
      <c r="J13"/>
      <c r="K13"/>
    </row>
    <row r="14" spans="1:13" ht="15" customHeight="1" x14ac:dyDescent="0.25">
      <c r="A14"/>
      <c r="B14" s="132" t="s">
        <v>964</v>
      </c>
      <c r="C14"/>
      <c r="D14" s="135"/>
      <c r="E14" s="132"/>
      <c r="F14" s="136"/>
      <c r="G14" s="135"/>
      <c r="H14"/>
      <c r="I14"/>
      <c r="J14"/>
      <c r="K14"/>
    </row>
    <row r="15" spans="1:13" x14ac:dyDescent="0.25">
      <c r="A15"/>
      <c r="B15"/>
      <c r="C15"/>
      <c r="D15" s="135"/>
      <c r="E15" s="132"/>
      <c r="F15" s="136"/>
      <c r="G15" s="135"/>
      <c r="H15"/>
      <c r="I15"/>
      <c r="J15"/>
      <c r="K15"/>
    </row>
    <row r="16" spans="1:13" x14ac:dyDescent="0.25">
      <c r="A16"/>
      <c r="B16" s="132" t="s">
        <v>965</v>
      </c>
      <c r="C16"/>
      <c r="D16"/>
      <c r="E16"/>
      <c r="F16"/>
      <c r="G16"/>
      <c r="H16"/>
      <c r="I16"/>
      <c r="J16"/>
      <c r="K16"/>
    </row>
    <row r="17" spans="1:11" ht="15" customHeight="1" x14ac:dyDescent="0.25">
      <c r="A17" s="132"/>
      <c r="B17" s="137" t="s">
        <v>1072</v>
      </c>
      <c r="C17" s="138">
        <v>67.069999999999993</v>
      </c>
      <c r="D17" s="132"/>
      <c r="E17" s="132"/>
      <c r="F17" s="132"/>
      <c r="G17" s="132"/>
      <c r="H17" s="132"/>
      <c r="I17" s="132"/>
      <c r="J17" s="132"/>
      <c r="K17" s="132"/>
    </row>
    <row r="18" spans="1:11" x14ac:dyDescent="0.25">
      <c r="A18" s="132"/>
      <c r="B18"/>
      <c r="C18" s="132"/>
      <c r="D18" s="132"/>
      <c r="E18" s="132"/>
      <c r="F18" s="132"/>
      <c r="G18" s="132"/>
      <c r="H18" s="132"/>
      <c r="I18" s="132"/>
      <c r="J18" s="132"/>
      <c r="K18" s="132"/>
    </row>
    <row r="19" spans="1:11" x14ac:dyDescent="0.25">
      <c r="A19"/>
      <c r="B19"/>
      <c r="C19"/>
      <c r="D19"/>
      <c r="E19"/>
      <c r="F19"/>
      <c r="G19"/>
      <c r="H19"/>
      <c r="I19"/>
      <c r="J19"/>
      <c r="K19"/>
    </row>
    <row r="20" spans="1:11" x14ac:dyDescent="0.25">
      <c r="A20" s="132" t="s">
        <v>12</v>
      </c>
      <c r="B20" s="132" t="s">
        <v>13</v>
      </c>
      <c r="C20"/>
      <c r="D20"/>
      <c r="E20"/>
      <c r="F20"/>
      <c r="G20"/>
      <c r="H20"/>
      <c r="I20"/>
      <c r="J20"/>
      <c r="K20"/>
    </row>
    <row r="21" spans="1:11" x14ac:dyDescent="0.25">
      <c r="A21" s="132"/>
      <c r="B21" s="132"/>
      <c r="C21" s="132"/>
      <c r="D21" s="132"/>
      <c r="E21" s="132"/>
      <c r="F21" s="132"/>
      <c r="G21" s="132"/>
      <c r="H21" s="132"/>
      <c r="I21" s="132"/>
      <c r="J21" s="132"/>
      <c r="K21" s="132"/>
    </row>
    <row r="22" spans="1:11" x14ac:dyDescent="0.25">
      <c r="A22" s="132"/>
      <c r="B22" s="132" t="s">
        <v>960</v>
      </c>
      <c r="C22" s="132"/>
      <c r="D22" s="132"/>
      <c r="E22" s="132"/>
      <c r="F22" s="132"/>
      <c r="G22" s="132"/>
      <c r="H22" s="132"/>
      <c r="I22" s="132"/>
      <c r="J22" s="132"/>
      <c r="K22" s="132"/>
    </row>
    <row r="23" spans="1:11" x14ac:dyDescent="0.25">
      <c r="A23"/>
      <c r="B23" s="132" t="s">
        <v>961</v>
      </c>
      <c r="C23" s="132"/>
      <c r="D23" s="132"/>
      <c r="E23" s="132"/>
      <c r="F23"/>
      <c r="G23"/>
      <c r="H23"/>
      <c r="I23"/>
      <c r="J23"/>
      <c r="K23"/>
    </row>
    <row r="24" spans="1:11" x14ac:dyDescent="0.25">
      <c r="A24"/>
      <c r="B24" s="133" t="s">
        <v>962</v>
      </c>
      <c r="C24" s="134"/>
      <c r="D24" s="134"/>
      <c r="E24" s="132"/>
      <c r="F24" s="136"/>
      <c r="G24" s="135"/>
      <c r="H24"/>
      <c r="I24"/>
      <c r="J24"/>
      <c r="K24"/>
    </row>
    <row r="25" spans="1:11" x14ac:dyDescent="0.25">
      <c r="A25"/>
      <c r="B25" s="132" t="s">
        <v>963</v>
      </c>
      <c r="C25" s="132"/>
      <c r="D25" s="132"/>
      <c r="E25" s="132"/>
      <c r="F25" s="136"/>
      <c r="G25" s="135"/>
      <c r="H25"/>
      <c r="I25"/>
      <c r="J25"/>
      <c r="K25"/>
    </row>
    <row r="26" spans="1:11" x14ac:dyDescent="0.25">
      <c r="A26"/>
      <c r="B26" s="132" t="s">
        <v>964</v>
      </c>
      <c r="C26" s="132"/>
      <c r="D26" s="135"/>
      <c r="E26" s="132"/>
      <c r="F26" s="132"/>
      <c r="G26" s="132"/>
      <c r="H26"/>
      <c r="I26"/>
      <c r="J26"/>
      <c r="K26"/>
    </row>
    <row r="27" spans="1:11" ht="15" customHeight="1" x14ac:dyDescent="0.25">
      <c r="A27"/>
      <c r="B27" s="132"/>
      <c r="C27" s="132"/>
      <c r="D27" s="135"/>
      <c r="E27" s="132"/>
      <c r="F27"/>
      <c r="G27"/>
      <c r="H27"/>
      <c r="I27"/>
      <c r="J27"/>
      <c r="K27"/>
    </row>
    <row r="28" spans="1:11" x14ac:dyDescent="0.25">
      <c r="A28"/>
      <c r="B28" s="132" t="s">
        <v>966</v>
      </c>
      <c r="C28" s="132"/>
      <c r="D28" s="132"/>
      <c r="E28" s="132"/>
      <c r="F28"/>
      <c r="G28"/>
      <c r="H28"/>
      <c r="I28"/>
      <c r="J28"/>
      <c r="K28"/>
    </row>
    <row r="29" spans="1:11" x14ac:dyDescent="0.25">
      <c r="A29" s="132"/>
      <c r="B29" s="137" t="s">
        <v>967</v>
      </c>
      <c r="C29" s="132"/>
      <c r="D29" s="132"/>
      <c r="E29" s="132"/>
      <c r="F29" s="132"/>
      <c r="G29" s="132"/>
      <c r="H29" s="132"/>
      <c r="I29" s="132"/>
      <c r="J29" s="132"/>
      <c r="K29" s="132"/>
    </row>
    <row r="30" spans="1:11" x14ac:dyDescent="0.25">
      <c r="A30" s="132"/>
      <c r="B30"/>
      <c r="C30" s="132"/>
      <c r="D30" s="132"/>
      <c r="E30" s="132"/>
      <c r="F30" s="132"/>
      <c r="G30" s="132"/>
      <c r="H30" s="132"/>
      <c r="I30" s="132"/>
      <c r="J30" s="132"/>
      <c r="K30" s="132"/>
    </row>
    <row r="31" spans="1:11" x14ac:dyDescent="0.25">
      <c r="A31" s="132"/>
      <c r="B31" s="132"/>
      <c r="C31" s="132"/>
      <c r="D31" s="132"/>
      <c r="E31" s="132"/>
      <c r="F31" s="132"/>
      <c r="G31" s="132"/>
      <c r="H31" s="132"/>
      <c r="I31" s="132"/>
      <c r="J31" s="132"/>
      <c r="K31" s="132"/>
    </row>
    <row r="32" spans="1:11" x14ac:dyDescent="0.25">
      <c r="A32" s="132" t="s">
        <v>15</v>
      </c>
      <c r="B32" s="132" t="s">
        <v>16</v>
      </c>
      <c r="C32" s="132"/>
      <c r="D32" s="132"/>
      <c r="E32" s="132"/>
      <c r="F32" s="132"/>
      <c r="G32" s="132"/>
      <c r="H32" s="132"/>
      <c r="I32" s="132"/>
      <c r="J32" s="132"/>
      <c r="K32" s="132"/>
    </row>
    <row r="33" spans="1:11" x14ac:dyDescent="0.25">
      <c r="A33"/>
      <c r="B33"/>
      <c r="C33"/>
      <c r="D33"/>
      <c r="E33"/>
      <c r="F33"/>
      <c r="G33"/>
      <c r="H33"/>
      <c r="I33"/>
      <c r="J33"/>
      <c r="K33"/>
    </row>
    <row r="34" spans="1:11" x14ac:dyDescent="0.25">
      <c r="A34" s="132"/>
      <c r="B34" s="134" t="s">
        <v>960</v>
      </c>
      <c r="C34" s="134"/>
      <c r="D34" s="134"/>
      <c r="E34" s="132"/>
      <c r="F34" s="132"/>
      <c r="G34" s="132"/>
      <c r="H34" s="132"/>
      <c r="I34" s="132"/>
      <c r="J34" s="132"/>
      <c r="K34" s="132"/>
    </row>
    <row r="35" spans="1:11" x14ac:dyDescent="0.25">
      <c r="A35" s="132"/>
      <c r="B35" s="132" t="s">
        <v>961</v>
      </c>
      <c r="C35" s="132"/>
      <c r="D35" s="132"/>
      <c r="E35" s="132"/>
      <c r="F35" s="132"/>
      <c r="G35" s="132"/>
      <c r="H35" s="132"/>
      <c r="I35" s="132"/>
      <c r="J35" s="132"/>
      <c r="K35" s="132"/>
    </row>
    <row r="36" spans="1:11" x14ac:dyDescent="0.25">
      <c r="A36"/>
      <c r="B36" s="132" t="s">
        <v>968</v>
      </c>
      <c r="C36" s="132"/>
      <c r="D36" s="135"/>
      <c r="E36" s="132"/>
      <c r="F36" s="136"/>
      <c r="G36" s="135"/>
      <c r="H36" s="132"/>
      <c r="I36" s="132"/>
      <c r="J36"/>
      <c r="K36"/>
    </row>
    <row r="37" spans="1:11" ht="15" customHeight="1" x14ac:dyDescent="0.25">
      <c r="A37" s="132"/>
      <c r="B37" s="132" t="s">
        <v>969</v>
      </c>
      <c r="C37" s="132"/>
      <c r="D37" s="135"/>
      <c r="E37" s="132"/>
      <c r="F37" s="136"/>
      <c r="G37" s="135"/>
      <c r="H37" s="132"/>
      <c r="I37" s="132"/>
      <c r="J37" s="132"/>
      <c r="K37" s="132"/>
    </row>
    <row r="38" spans="1:11" x14ac:dyDescent="0.25">
      <c r="A38" s="132"/>
      <c r="B38" s="132" t="s">
        <v>964</v>
      </c>
      <c r="C38" s="132"/>
      <c r="D38" s="135"/>
      <c r="E38" s="132"/>
      <c r="F38" s="136"/>
      <c r="G38" s="135"/>
      <c r="H38" s="132"/>
      <c r="I38" s="132"/>
      <c r="J38" s="132"/>
      <c r="K38" s="132"/>
    </row>
    <row r="39" spans="1:11" x14ac:dyDescent="0.25">
      <c r="A39" s="132"/>
      <c r="B39" s="132"/>
      <c r="C39" s="132"/>
      <c r="D39" s="135"/>
      <c r="E39" s="132"/>
      <c r="F39" s="136"/>
      <c r="G39" s="135"/>
      <c r="H39" s="132"/>
      <c r="I39" s="132"/>
      <c r="J39" s="132"/>
      <c r="K39" s="132"/>
    </row>
    <row r="40" spans="1:11" x14ac:dyDescent="0.25">
      <c r="A40"/>
      <c r="B40" s="139" t="s">
        <v>970</v>
      </c>
      <c r="C40" s="132"/>
      <c r="D40" s="136"/>
      <c r="E40" s="139"/>
      <c r="F40" s="136"/>
      <c r="G40" s="135"/>
      <c r="H40" s="132"/>
      <c r="I40" s="132"/>
      <c r="J40"/>
      <c r="K40"/>
    </row>
    <row r="41" spans="1:11" x14ac:dyDescent="0.25">
      <c r="A41" s="132"/>
      <c r="B41" s="139"/>
      <c r="C41" s="132"/>
      <c r="D41" s="136"/>
      <c r="E41" s="139"/>
      <c r="F41" s="136"/>
      <c r="G41" s="135"/>
      <c r="H41" s="132"/>
      <c r="I41" s="132"/>
      <c r="J41" s="132"/>
      <c r="K41" s="132"/>
    </row>
    <row r="42" spans="1:11" x14ac:dyDescent="0.25">
      <c r="A42"/>
      <c r="B42" s="132" t="s">
        <v>971</v>
      </c>
      <c r="C42" s="132"/>
      <c r="D42" s="135"/>
      <c r="E42" s="135" t="s">
        <v>972</v>
      </c>
      <c r="F42" s="135"/>
      <c r="G42" s="135"/>
      <c r="H42" s="132"/>
      <c r="I42" s="132"/>
      <c r="J42"/>
      <c r="K42"/>
    </row>
    <row r="43" spans="1:11" x14ac:dyDescent="0.25">
      <c r="A43" s="132"/>
      <c r="B43" s="132" t="s">
        <v>973</v>
      </c>
      <c r="C43" s="132"/>
      <c r="D43" s="135"/>
      <c r="E43" s="135" t="s">
        <v>973</v>
      </c>
      <c r="F43" s="135"/>
      <c r="G43" s="135"/>
      <c r="H43" s="132"/>
      <c r="I43" s="132"/>
      <c r="J43" s="132"/>
      <c r="K43" s="132"/>
    </row>
    <row r="44" spans="1:11" x14ac:dyDescent="0.25">
      <c r="A44"/>
      <c r="B44" s="133"/>
      <c r="C44"/>
      <c r="D44"/>
      <c r="E44" s="137" t="s">
        <v>974</v>
      </c>
      <c r="F44"/>
      <c r="G44"/>
      <c r="H44"/>
      <c r="I44"/>
      <c r="J44"/>
      <c r="K44"/>
    </row>
    <row r="45" spans="1:11" x14ac:dyDescent="0.25">
      <c r="A45" s="132"/>
      <c r="B45" s="133"/>
      <c r="C45" s="132"/>
      <c r="D45" s="132"/>
      <c r="E45"/>
      <c r="F45" s="132"/>
      <c r="G45" s="132"/>
      <c r="H45" s="132"/>
      <c r="I45" s="132"/>
      <c r="J45" s="132"/>
      <c r="K45" s="132"/>
    </row>
    <row r="46" spans="1:11" x14ac:dyDescent="0.25">
      <c r="A46" s="132"/>
      <c r="B46" s="133"/>
      <c r="C46" s="132"/>
      <c r="D46" s="132"/>
      <c r="E46" s="132"/>
      <c r="F46" s="132"/>
      <c r="G46" s="132"/>
      <c r="H46" s="132"/>
      <c r="I46" s="132"/>
      <c r="J46" s="132"/>
      <c r="K46" s="132"/>
    </row>
    <row r="47" spans="1:11" ht="15" customHeight="1" x14ac:dyDescent="0.25">
      <c r="A47" s="132" t="s">
        <v>17</v>
      </c>
      <c r="B47" s="132" t="s">
        <v>18</v>
      </c>
      <c r="C47" s="132"/>
      <c r="D47" s="132"/>
      <c r="E47" s="132"/>
      <c r="F47" s="132"/>
      <c r="G47" s="132"/>
      <c r="H47" s="132"/>
      <c r="I47" s="132"/>
      <c r="J47" s="132"/>
      <c r="K47" s="132"/>
    </row>
    <row r="48" spans="1:11" x14ac:dyDescent="0.25">
      <c r="A48"/>
      <c r="B48"/>
      <c r="C48"/>
      <c r="D48"/>
      <c r="E48"/>
      <c r="F48"/>
      <c r="G48"/>
      <c r="H48"/>
      <c r="I48"/>
      <c r="J48"/>
      <c r="K48"/>
    </row>
    <row r="49" spans="1:13" ht="15" customHeight="1" x14ac:dyDescent="0.25">
      <c r="A49" s="132"/>
      <c r="B49" s="134" t="s">
        <v>960</v>
      </c>
      <c r="C49" s="134"/>
      <c r="D49" s="134"/>
      <c r="E49" s="132"/>
      <c r="F49" s="132"/>
      <c r="G49" s="132"/>
      <c r="H49" s="132"/>
      <c r="I49" s="132"/>
      <c r="J49" s="132"/>
      <c r="K49" s="132"/>
      <c r="L49" s="86"/>
      <c r="M49" s="86"/>
    </row>
    <row r="50" spans="1:13" ht="15" customHeight="1" x14ac:dyDescent="0.25">
      <c r="A50" s="132"/>
      <c r="B50" s="132" t="s">
        <v>975</v>
      </c>
      <c r="C50" s="132"/>
      <c r="D50" s="132"/>
      <c r="E50" s="132"/>
      <c r="F50" s="132"/>
      <c r="G50" s="132"/>
      <c r="H50" s="132"/>
      <c r="I50" s="132"/>
      <c r="J50" s="132"/>
      <c r="K50" s="132"/>
      <c r="L50" s="86"/>
      <c r="M50" s="86"/>
    </row>
    <row r="51" spans="1:13" x14ac:dyDescent="0.25">
      <c r="A51" s="132"/>
      <c r="B51" s="132" t="s">
        <v>976</v>
      </c>
      <c r="C51" s="132"/>
      <c r="D51" s="135"/>
      <c r="E51" s="132"/>
      <c r="F51" s="136"/>
      <c r="G51" s="135"/>
      <c r="H51" s="140"/>
      <c r="I51" s="140"/>
      <c r="J51" s="140"/>
      <c r="K51" s="140"/>
      <c r="L51" s="86"/>
      <c r="M51" s="86"/>
    </row>
    <row r="52" spans="1:13" x14ac:dyDescent="0.25">
      <c r="A52" s="132"/>
      <c r="B52" s="132" t="s">
        <v>977</v>
      </c>
      <c r="C52" s="132"/>
      <c r="D52" s="135"/>
      <c r="E52" s="132"/>
      <c r="F52" s="136"/>
      <c r="G52" s="135"/>
      <c r="H52" s="140"/>
      <c r="I52" s="140"/>
      <c r="J52" s="140"/>
      <c r="K52" s="140"/>
    </row>
    <row r="53" spans="1:13" x14ac:dyDescent="0.25">
      <c r="A53" s="132"/>
      <c r="B53" s="141" t="s">
        <v>964</v>
      </c>
      <c r="C53" s="140"/>
      <c r="D53" s="140"/>
      <c r="E53" s="140"/>
      <c r="F53" s="140"/>
      <c r="G53" s="140"/>
      <c r="H53" s="140"/>
      <c r="I53" s="140"/>
      <c r="J53" s="140"/>
      <c r="K53" s="140"/>
    </row>
    <row r="54" spans="1:13" x14ac:dyDescent="0.25">
      <c r="A54"/>
      <c r="B54"/>
      <c r="C54"/>
      <c r="D54"/>
      <c r="E54"/>
      <c r="F54"/>
      <c r="G54"/>
      <c r="H54"/>
      <c r="I54"/>
      <c r="J54"/>
      <c r="K54"/>
    </row>
    <row r="55" spans="1:13" x14ac:dyDescent="0.25">
      <c r="A55"/>
      <c r="B55" s="132" t="s">
        <v>978</v>
      </c>
      <c r="C55"/>
      <c r="D55"/>
      <c r="E55"/>
      <c r="F55"/>
      <c r="G55"/>
      <c r="H55"/>
      <c r="I55"/>
      <c r="J55"/>
      <c r="K55"/>
    </row>
    <row r="56" spans="1:13" x14ac:dyDescent="0.25">
      <c r="A56"/>
      <c r="B56" s="142" t="s">
        <v>979</v>
      </c>
      <c r="C56"/>
      <c r="D56"/>
      <c r="E56"/>
      <c r="F56"/>
      <c r="G56"/>
      <c r="H56"/>
      <c r="I56"/>
      <c r="J56"/>
      <c r="K56"/>
    </row>
    <row r="57" spans="1:13" x14ac:dyDescent="0.25">
      <c r="A57"/>
      <c r="B57"/>
      <c r="C57"/>
      <c r="D57"/>
      <c r="E57"/>
      <c r="F57"/>
      <c r="G57"/>
      <c r="H57"/>
      <c r="I57"/>
      <c r="J57"/>
      <c r="K57"/>
    </row>
    <row r="58" spans="1:13" x14ac:dyDescent="0.25">
      <c r="A58"/>
      <c r="B58"/>
      <c r="C58"/>
      <c r="D58"/>
      <c r="E58"/>
      <c r="F58"/>
      <c r="G58"/>
      <c r="H58"/>
      <c r="I58"/>
      <c r="J58"/>
      <c r="K58"/>
    </row>
    <row r="59" spans="1:13" x14ac:dyDescent="0.25">
      <c r="A59" s="132" t="s">
        <v>20</v>
      </c>
      <c r="B59" s="132" t="s">
        <v>21</v>
      </c>
      <c r="C59" s="132"/>
      <c r="D59" s="132"/>
      <c r="E59" s="132"/>
      <c r="F59" s="132"/>
      <c r="G59" s="132"/>
      <c r="H59" s="132"/>
      <c r="I59" s="132"/>
      <c r="J59" s="132"/>
      <c r="K59" s="132"/>
    </row>
    <row r="60" spans="1:13" x14ac:dyDescent="0.25">
      <c r="A60"/>
      <c r="B60"/>
      <c r="C60"/>
      <c r="D60"/>
      <c r="E60"/>
      <c r="F60"/>
      <c r="G60"/>
      <c r="H60"/>
      <c r="I60"/>
      <c r="J60"/>
      <c r="K60"/>
    </row>
    <row r="61" spans="1:13" x14ac:dyDescent="0.25">
      <c r="A61" s="132"/>
      <c r="B61" s="134" t="s">
        <v>960</v>
      </c>
      <c r="C61" s="134"/>
      <c r="D61" s="132"/>
      <c r="E61" s="132"/>
      <c r="F61" s="132"/>
      <c r="G61" s="132"/>
      <c r="H61" s="132"/>
      <c r="I61" s="132"/>
      <c r="J61" s="132"/>
      <c r="K61" s="132"/>
    </row>
    <row r="62" spans="1:13" x14ac:dyDescent="0.25">
      <c r="A62" s="132"/>
      <c r="B62" s="132" t="s">
        <v>975</v>
      </c>
      <c r="C62" s="132"/>
      <c r="D62" s="132"/>
      <c r="E62" s="132"/>
      <c r="F62" s="132"/>
      <c r="G62" s="132"/>
      <c r="H62" s="132"/>
      <c r="I62" s="132"/>
      <c r="J62" s="132"/>
      <c r="K62" s="132"/>
    </row>
    <row r="63" spans="1:13" x14ac:dyDescent="0.25">
      <c r="A63"/>
      <c r="B63" s="132" t="s">
        <v>980</v>
      </c>
      <c r="C63" s="132"/>
      <c r="D63" s="135"/>
      <c r="E63" s="132"/>
      <c r="F63" s="136"/>
      <c r="G63" s="135"/>
      <c r="H63"/>
      <c r="I63"/>
      <c r="J63"/>
      <c r="K63"/>
    </row>
    <row r="64" spans="1:13" x14ac:dyDescent="0.25">
      <c r="A64"/>
      <c r="B64" s="132" t="s">
        <v>981</v>
      </c>
      <c r="C64" s="132"/>
      <c r="D64" s="135"/>
      <c r="E64" s="135"/>
      <c r="F64" s="136"/>
      <c r="G64" s="143"/>
      <c r="H64" s="135"/>
      <c r="I64"/>
      <c r="J64"/>
      <c r="K64"/>
    </row>
    <row r="65" spans="1:13" x14ac:dyDescent="0.25">
      <c r="A65"/>
      <c r="B65" s="132" t="s">
        <v>964</v>
      </c>
      <c r="C65"/>
      <c r="D65"/>
      <c r="E65" s="135"/>
      <c r="F65" s="136"/>
      <c r="G65" s="136"/>
      <c r="H65" s="135"/>
      <c r="I65"/>
      <c r="J65"/>
      <c r="K65"/>
      <c r="L65" s="86"/>
      <c r="M65" s="86"/>
    </row>
    <row r="66" spans="1:13" x14ac:dyDescent="0.25">
      <c r="A66"/>
      <c r="B66"/>
      <c r="C66"/>
      <c r="D66"/>
      <c r="E66"/>
      <c r="F66"/>
      <c r="G66"/>
      <c r="H66"/>
      <c r="I66"/>
      <c r="J66"/>
      <c r="K66"/>
      <c r="L66" s="86"/>
      <c r="M66" s="86"/>
    </row>
    <row r="67" spans="1:13" x14ac:dyDescent="0.25">
      <c r="A67"/>
      <c r="B67" s="132" t="s">
        <v>982</v>
      </c>
      <c r="C67"/>
      <c r="D67"/>
      <c r="E67"/>
      <c r="F67"/>
      <c r="G67"/>
      <c r="H67"/>
      <c r="I67"/>
      <c r="J67"/>
      <c r="K67"/>
    </row>
    <row r="68" spans="1:13" ht="40.5" customHeight="1" x14ac:dyDescent="0.25">
      <c r="A68" s="132"/>
      <c r="B68" s="132"/>
      <c r="C68" s="132"/>
      <c r="D68" s="135"/>
      <c r="E68" s="132"/>
      <c r="F68" s="136"/>
      <c r="G68" s="135"/>
      <c r="H68" s="132"/>
      <c r="I68" s="132"/>
      <c r="J68" s="132"/>
      <c r="K68" s="132"/>
      <c r="L68" s="86"/>
      <c r="M68" s="86"/>
    </row>
    <row r="69" spans="1:13" x14ac:dyDescent="0.25">
      <c r="A69" s="132"/>
      <c r="B69" s="132" t="s">
        <v>983</v>
      </c>
      <c r="C69" s="132"/>
      <c r="D69" s="135"/>
      <c r="E69" s="135" t="s">
        <v>984</v>
      </c>
      <c r="F69" s="136"/>
      <c r="G69" s="133"/>
      <c r="H69" s="133"/>
      <c r="I69" s="140"/>
      <c r="J69" s="140"/>
      <c r="K69" s="140"/>
      <c r="L69" s="86"/>
      <c r="M69" s="86"/>
    </row>
    <row r="70" spans="1:13" x14ac:dyDescent="0.25">
      <c r="A70" s="132"/>
      <c r="B70" s="132" t="s">
        <v>985</v>
      </c>
      <c r="C70" s="132"/>
      <c r="D70" s="132"/>
      <c r="E70" s="135" t="s">
        <v>986</v>
      </c>
      <c r="F70" s="136"/>
      <c r="G70" s="133"/>
      <c r="H70" s="133"/>
      <c r="I70" s="140"/>
      <c r="J70" s="140"/>
      <c r="K70" s="140"/>
      <c r="L70" s="86"/>
      <c r="M70" s="86"/>
    </row>
    <row r="71" spans="1:13" x14ac:dyDescent="0.25">
      <c r="A71" s="132"/>
      <c r="B71" s="132"/>
      <c r="C71" s="132"/>
      <c r="D71" s="132"/>
      <c r="E71" s="132"/>
      <c r="F71" s="132"/>
      <c r="G71" s="133"/>
      <c r="H71" s="133"/>
      <c r="I71" s="140"/>
      <c r="J71" s="140"/>
      <c r="K71" s="140"/>
    </row>
    <row r="72" spans="1:13" x14ac:dyDescent="0.25">
      <c r="A72" s="132"/>
      <c r="B72" s="140"/>
      <c r="C72" s="140"/>
      <c r="D72" s="140"/>
      <c r="E72" s="141" t="s">
        <v>987</v>
      </c>
      <c r="F72" s="140"/>
      <c r="G72" s="140"/>
      <c r="H72" s="140"/>
      <c r="I72" s="140"/>
      <c r="J72" s="140"/>
      <c r="K72" s="140"/>
    </row>
    <row r="73" spans="1:13" x14ac:dyDescent="0.25">
      <c r="A73" s="132"/>
      <c r="B73" s="141"/>
      <c r="C73" s="140"/>
      <c r="D73" s="140"/>
      <c r="E73"/>
      <c r="F73" s="140"/>
      <c r="G73" s="140"/>
      <c r="H73" s="140"/>
      <c r="I73" s="140"/>
      <c r="J73" s="140"/>
      <c r="K73" s="140"/>
    </row>
    <row r="74" spans="1:13" x14ac:dyDescent="0.25">
      <c r="A74" s="132"/>
      <c r="B74" s="140"/>
      <c r="C74" s="140"/>
      <c r="D74" s="140"/>
      <c r="E74" s="140"/>
      <c r="F74" s="140"/>
      <c r="G74" s="140"/>
      <c r="H74" s="140"/>
      <c r="I74" s="140"/>
      <c r="J74" s="140"/>
      <c r="K74" s="140"/>
    </row>
    <row r="75" spans="1:13" x14ac:dyDescent="0.25">
      <c r="A75" s="132" t="s">
        <v>22</v>
      </c>
      <c r="B75" s="132" t="s">
        <v>23</v>
      </c>
      <c r="C75" s="132"/>
      <c r="D75" s="132"/>
      <c r="E75" s="132"/>
      <c r="F75" s="132"/>
      <c r="G75" s="132"/>
      <c r="H75" s="132"/>
      <c r="I75" s="132"/>
      <c r="J75" s="132"/>
      <c r="K75" s="132"/>
    </row>
    <row r="76" spans="1:13" x14ac:dyDescent="0.25">
      <c r="A76" s="132"/>
      <c r="B76" s="471" t="s">
        <v>24</v>
      </c>
      <c r="C76" s="469"/>
      <c r="D76" s="469"/>
      <c r="E76" s="469"/>
      <c r="F76" s="469"/>
      <c r="G76" s="469"/>
      <c r="H76" s="469"/>
      <c r="I76" s="469"/>
      <c r="J76" s="469"/>
      <c r="K76" s="469"/>
    </row>
    <row r="77" spans="1:13" x14ac:dyDescent="0.25">
      <c r="A77" s="132"/>
      <c r="B77" s="144"/>
      <c r="C77" s="144"/>
      <c r="D77" s="144"/>
      <c r="E77" s="144"/>
      <c r="F77" s="144"/>
      <c r="G77" s="144"/>
      <c r="H77" s="144"/>
      <c r="I77" s="144"/>
      <c r="J77" s="144"/>
      <c r="K77" s="144"/>
    </row>
    <row r="78" spans="1:13" x14ac:dyDescent="0.25">
      <c r="A78" s="132"/>
      <c r="B78" s="134" t="s">
        <v>988</v>
      </c>
      <c r="C78" s="134"/>
      <c r="D78" s="134"/>
      <c r="E78" s="144"/>
      <c r="F78" s="144"/>
      <c r="G78" s="144"/>
      <c r="H78" s="144"/>
      <c r="I78" s="144"/>
      <c r="J78" s="144"/>
      <c r="K78" s="144"/>
      <c r="L78" s="86"/>
      <c r="M78" s="86"/>
    </row>
    <row r="79" spans="1:13" x14ac:dyDescent="0.25">
      <c r="A79" s="132"/>
      <c r="B79" s="134"/>
      <c r="C79" s="134"/>
      <c r="D79" s="134"/>
      <c r="E79" s="144"/>
      <c r="F79" s="144"/>
      <c r="G79" s="144"/>
      <c r="H79" s="144"/>
      <c r="I79" s="144"/>
      <c r="J79" s="144"/>
      <c r="K79" s="144"/>
      <c r="L79" s="86"/>
      <c r="M79" s="86"/>
    </row>
    <row r="80" spans="1:13" x14ac:dyDescent="0.25">
      <c r="A80"/>
      <c r="B80" s="132" t="s">
        <v>960</v>
      </c>
      <c r="C80"/>
      <c r="D80"/>
      <c r="E80"/>
      <c r="F80"/>
      <c r="G80"/>
      <c r="H80"/>
      <c r="I80"/>
      <c r="J80"/>
      <c r="K80"/>
      <c r="L80" s="86"/>
      <c r="M80" s="86"/>
    </row>
    <row r="81" spans="1:11" x14ac:dyDescent="0.25">
      <c r="A81"/>
      <c r="B81" s="132" t="s">
        <v>975</v>
      </c>
      <c r="C81" s="132"/>
      <c r="D81" s="135"/>
      <c r="E81" s="132"/>
      <c r="F81" s="136"/>
      <c r="G81" s="135"/>
      <c r="H81"/>
      <c r="I81"/>
      <c r="J81"/>
      <c r="K81"/>
    </row>
    <row r="82" spans="1:11" x14ac:dyDescent="0.25">
      <c r="A82"/>
      <c r="B82" s="132" t="s">
        <v>989</v>
      </c>
      <c r="C82" s="132"/>
      <c r="D82" s="135"/>
      <c r="E82" s="132"/>
      <c r="F82" s="136"/>
      <c r="G82" s="135"/>
      <c r="H82"/>
      <c r="I82"/>
      <c r="J82"/>
      <c r="K82"/>
    </row>
    <row r="83" spans="1:11" x14ac:dyDescent="0.25">
      <c r="A83"/>
      <c r="B83" s="132" t="s">
        <v>963</v>
      </c>
      <c r="C83"/>
      <c r="D83"/>
      <c r="E83"/>
      <c r="F83"/>
      <c r="G83"/>
      <c r="H83"/>
      <c r="I83"/>
      <c r="J83"/>
      <c r="K83"/>
    </row>
    <row r="84" spans="1:11" x14ac:dyDescent="0.25">
      <c r="A84"/>
      <c r="B84" s="132" t="s">
        <v>964</v>
      </c>
      <c r="C84"/>
      <c r="D84"/>
      <c r="E84"/>
      <c r="F84"/>
      <c r="G84"/>
      <c r="H84"/>
      <c r="I84"/>
      <c r="J84"/>
      <c r="K84"/>
    </row>
    <row r="85" spans="1:11" x14ac:dyDescent="0.25">
      <c r="A85"/>
      <c r="B85"/>
      <c r="C85"/>
      <c r="D85"/>
      <c r="E85"/>
      <c r="F85"/>
      <c r="G85"/>
      <c r="H85"/>
      <c r="I85"/>
      <c r="J85"/>
      <c r="K85"/>
    </row>
    <row r="86" spans="1:11" x14ac:dyDescent="0.25">
      <c r="A86"/>
      <c r="B86" s="132" t="s">
        <v>990</v>
      </c>
      <c r="C86"/>
      <c r="D86"/>
      <c r="E86"/>
      <c r="F86"/>
      <c r="G86"/>
      <c r="H86"/>
      <c r="I86"/>
      <c r="J86"/>
      <c r="K86"/>
    </row>
    <row r="87" spans="1:11" x14ac:dyDescent="0.25">
      <c r="A87" s="132"/>
      <c r="B87" s="141" t="s">
        <v>991</v>
      </c>
      <c r="C87" s="140"/>
      <c r="D87" s="140"/>
      <c r="E87" s="140"/>
      <c r="F87" s="140"/>
      <c r="G87" s="140"/>
      <c r="H87" s="140"/>
      <c r="I87" s="140"/>
      <c r="J87" s="140"/>
      <c r="K87" s="140"/>
    </row>
    <row r="88" spans="1:11" x14ac:dyDescent="0.25">
      <c r="A88" s="132"/>
      <c r="B88"/>
      <c r="C88" s="140"/>
      <c r="D88" s="140"/>
      <c r="E88" s="140"/>
      <c r="F88" s="140"/>
      <c r="G88" s="140"/>
      <c r="H88" s="140"/>
      <c r="I88" s="140"/>
      <c r="J88" s="140"/>
      <c r="K88" s="140"/>
    </row>
  </sheetData>
  <mergeCells count="3">
    <mergeCell ref="A1:I1"/>
    <mergeCell ref="A2:K5"/>
    <mergeCell ref="B76:K7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4222C-C99F-4461-90BA-0A790BA51E43}">
  <dimension ref="A1:O79"/>
  <sheetViews>
    <sheetView workbookViewId="0">
      <selection activeCell="J27" sqref="J27"/>
    </sheetView>
  </sheetViews>
  <sheetFormatPr defaultRowHeight="15" x14ac:dyDescent="0.25"/>
  <sheetData>
    <row r="1" spans="1:13" ht="20.25" x14ac:dyDescent="0.3">
      <c r="A1" s="472" t="s">
        <v>1649</v>
      </c>
      <c r="B1" s="472"/>
      <c r="C1" s="472"/>
      <c r="D1" s="472"/>
      <c r="E1" s="472"/>
      <c r="F1" s="472"/>
      <c r="G1" s="472"/>
      <c r="H1" s="472"/>
      <c r="I1" s="472"/>
    </row>
    <row r="2" spans="1:13" ht="15" customHeight="1" x14ac:dyDescent="0.25">
      <c r="A2" s="463" t="s">
        <v>1070</v>
      </c>
      <c r="B2" s="463"/>
      <c r="C2" s="463"/>
      <c r="D2" s="463"/>
      <c r="E2" s="463"/>
      <c r="F2" s="463"/>
      <c r="G2" s="463"/>
      <c r="H2" s="463"/>
      <c r="I2" s="463"/>
      <c r="J2" s="463"/>
      <c r="K2" s="463"/>
      <c r="L2" s="3"/>
      <c r="M2" s="3"/>
    </row>
    <row r="3" spans="1:13" x14ac:dyDescent="0.25">
      <c r="A3" s="463"/>
      <c r="B3" s="463"/>
      <c r="C3" s="463"/>
      <c r="D3" s="463"/>
      <c r="E3" s="463"/>
      <c r="F3" s="463"/>
      <c r="G3" s="463"/>
      <c r="H3" s="463"/>
      <c r="I3" s="463"/>
      <c r="J3" s="463"/>
      <c r="K3" s="463"/>
      <c r="L3" s="3"/>
      <c r="M3" s="3"/>
    </row>
    <row r="4" spans="1:13" x14ac:dyDescent="0.25">
      <c r="A4" s="463"/>
      <c r="B4" s="463"/>
      <c r="C4" s="463"/>
      <c r="D4" s="463"/>
      <c r="E4" s="463"/>
      <c r="F4" s="463"/>
      <c r="G4" s="463"/>
      <c r="H4" s="463"/>
      <c r="I4" s="463"/>
      <c r="J4" s="463"/>
      <c r="K4" s="463"/>
      <c r="L4" s="3"/>
      <c r="M4" s="3"/>
    </row>
    <row r="5" spans="1:13" x14ac:dyDescent="0.25">
      <c r="A5" s="463"/>
      <c r="B5" s="463"/>
      <c r="C5" s="463"/>
      <c r="D5" s="463"/>
      <c r="E5" s="463"/>
      <c r="F5" s="463"/>
      <c r="G5" s="463"/>
      <c r="H5" s="463"/>
      <c r="I5" s="463"/>
      <c r="J5" s="463"/>
      <c r="K5" s="463"/>
      <c r="L5" s="3"/>
      <c r="M5" s="3"/>
    </row>
    <row r="8" spans="1:13" x14ac:dyDescent="0.25">
      <c r="B8" s="1" t="s">
        <v>2</v>
      </c>
      <c r="C8" s="1" t="s">
        <v>3</v>
      </c>
      <c r="D8" s="1"/>
      <c r="E8" s="1"/>
      <c r="F8" s="1"/>
      <c r="G8" s="1"/>
      <c r="H8" s="1"/>
    </row>
    <row r="9" spans="1:13" x14ac:dyDescent="0.25">
      <c r="B9" s="1"/>
      <c r="C9" s="1" t="s">
        <v>4</v>
      </c>
      <c r="D9" s="1"/>
      <c r="E9" s="1"/>
      <c r="F9" s="1"/>
      <c r="G9" s="1"/>
      <c r="H9" s="1"/>
    </row>
    <row r="10" spans="1:13" x14ac:dyDescent="0.25">
      <c r="B10" s="1" t="s">
        <v>5</v>
      </c>
      <c r="C10" s="1" t="s">
        <v>6</v>
      </c>
      <c r="D10" s="1"/>
      <c r="E10" s="1"/>
      <c r="F10" s="1"/>
      <c r="G10" s="1"/>
      <c r="H10" s="1"/>
    </row>
    <row r="11" spans="1:13" x14ac:dyDescent="0.25">
      <c r="B11" s="1"/>
      <c r="C11" s="1" t="s">
        <v>7</v>
      </c>
      <c r="D11" s="1"/>
      <c r="E11" s="1"/>
      <c r="F11" s="1"/>
      <c r="G11" s="1"/>
      <c r="H11" s="1"/>
    </row>
    <row r="12" spans="1:13" x14ac:dyDescent="0.25">
      <c r="B12" s="1"/>
      <c r="C12" s="1" t="s">
        <v>8</v>
      </c>
      <c r="D12" s="1"/>
      <c r="E12" s="1"/>
      <c r="F12" s="1"/>
      <c r="G12" s="1"/>
      <c r="H12" s="1"/>
    </row>
    <row r="13" spans="1:13" x14ac:dyDescent="0.25">
      <c r="B13" s="1"/>
      <c r="C13" s="1" t="s">
        <v>9</v>
      </c>
      <c r="D13" s="1"/>
      <c r="E13" s="1"/>
      <c r="F13" s="1"/>
      <c r="G13" s="1"/>
      <c r="H13" s="1"/>
    </row>
    <row r="16" spans="1:13" x14ac:dyDescent="0.25">
      <c r="A16" t="s">
        <v>10</v>
      </c>
      <c r="B16" t="s">
        <v>11</v>
      </c>
    </row>
    <row r="18" spans="1:5" x14ac:dyDescent="0.25">
      <c r="C18" s="1" t="s">
        <v>3</v>
      </c>
      <c r="D18" s="1"/>
      <c r="E18" s="1"/>
    </row>
    <row r="19" spans="1:5" x14ac:dyDescent="0.25">
      <c r="C19" s="1" t="s">
        <v>1650</v>
      </c>
      <c r="D19" s="1"/>
      <c r="E19" s="1"/>
    </row>
    <row r="20" spans="1:5" x14ac:dyDescent="0.25">
      <c r="C20" s="1" t="s">
        <v>1651</v>
      </c>
      <c r="D20" s="1"/>
      <c r="E20" s="1"/>
    </row>
    <row r="21" spans="1:5" x14ac:dyDescent="0.25">
      <c r="C21" s="1" t="s">
        <v>1652</v>
      </c>
      <c r="D21" s="1"/>
      <c r="E21" s="1"/>
    </row>
    <row r="22" spans="1:5" x14ac:dyDescent="0.25">
      <c r="C22" s="1" t="s">
        <v>8</v>
      </c>
      <c r="D22" s="1"/>
      <c r="E22" s="1"/>
    </row>
    <row r="23" spans="1:5" x14ac:dyDescent="0.25">
      <c r="C23" s="1" t="s">
        <v>1653</v>
      </c>
      <c r="D23" s="1"/>
      <c r="E23" s="1"/>
    </row>
    <row r="26" spans="1:5" x14ac:dyDescent="0.25">
      <c r="A26" t="s">
        <v>12</v>
      </c>
      <c r="B26" t="s">
        <v>13</v>
      </c>
    </row>
    <row r="28" spans="1:5" x14ac:dyDescent="0.25">
      <c r="C28" s="1" t="s">
        <v>3</v>
      </c>
      <c r="D28" s="1"/>
    </row>
    <row r="29" spans="1:5" x14ac:dyDescent="0.25">
      <c r="C29" s="1" t="s">
        <v>1650</v>
      </c>
      <c r="D29" s="1"/>
    </row>
    <row r="30" spans="1:5" x14ac:dyDescent="0.25">
      <c r="C30" s="1" t="s">
        <v>1651</v>
      </c>
      <c r="D30" s="1"/>
    </row>
    <row r="31" spans="1:5" x14ac:dyDescent="0.25">
      <c r="C31" s="1" t="s">
        <v>1652</v>
      </c>
      <c r="D31" s="1"/>
    </row>
    <row r="32" spans="1:5" x14ac:dyDescent="0.25">
      <c r="C32" s="1" t="s">
        <v>8</v>
      </c>
      <c r="D32" s="1"/>
    </row>
    <row r="33" spans="1:15" x14ac:dyDescent="0.25">
      <c r="C33" s="1" t="s">
        <v>1653</v>
      </c>
      <c r="D33" s="1"/>
      <c r="G33" t="s">
        <v>14</v>
      </c>
    </row>
    <row r="36" spans="1:15" x14ac:dyDescent="0.25">
      <c r="A36" t="s">
        <v>15</v>
      </c>
      <c r="B36" t="s">
        <v>16</v>
      </c>
    </row>
    <row r="38" spans="1:15" x14ac:dyDescent="0.25">
      <c r="B38" s="5" t="s">
        <v>1654</v>
      </c>
      <c r="C38" s="6"/>
      <c r="D38" s="6"/>
      <c r="E38" s="6"/>
      <c r="F38" s="6"/>
      <c r="G38" s="6"/>
      <c r="H38" s="6"/>
      <c r="I38" s="6"/>
    </row>
    <row r="39" spans="1:15" x14ac:dyDescent="0.25">
      <c r="B39" s="5" t="s">
        <v>1655</v>
      </c>
      <c r="C39" s="5"/>
      <c r="D39" s="5"/>
      <c r="E39" s="5"/>
      <c r="F39" s="5"/>
      <c r="G39" s="5"/>
      <c r="H39" s="5"/>
      <c r="I39" s="5"/>
      <c r="O39" s="6"/>
    </row>
    <row r="40" spans="1:15" x14ac:dyDescent="0.25">
      <c r="B40" t="s">
        <v>1656</v>
      </c>
      <c r="O40" s="5"/>
    </row>
    <row r="41" spans="1:15" x14ac:dyDescent="0.25">
      <c r="B41" t="s">
        <v>1657</v>
      </c>
      <c r="C41" s="7"/>
    </row>
    <row r="42" spans="1:15" x14ac:dyDescent="0.25">
      <c r="B42" t="s">
        <v>1658</v>
      </c>
      <c r="O42" s="7"/>
    </row>
    <row r="46" spans="1:15" x14ac:dyDescent="0.25">
      <c r="A46" t="s">
        <v>17</v>
      </c>
      <c r="B46" t="s">
        <v>18</v>
      </c>
    </row>
    <row r="47" spans="1:15" x14ac:dyDescent="0.25">
      <c r="C47" s="1" t="s">
        <v>19</v>
      </c>
    </row>
    <row r="48" spans="1:15" x14ac:dyDescent="0.25">
      <c r="B48" s="1"/>
      <c r="C48" s="1" t="s">
        <v>1659</v>
      </c>
      <c r="D48" s="1"/>
      <c r="E48" s="1"/>
      <c r="F48" s="1"/>
      <c r="G48" s="1"/>
      <c r="H48" s="1"/>
      <c r="I48" s="1"/>
      <c r="J48" s="1"/>
      <c r="K48" s="1"/>
      <c r="L48" s="1"/>
      <c r="M48" s="1"/>
    </row>
    <row r="49" spans="1:13" x14ac:dyDescent="0.25">
      <c r="B49" s="1"/>
      <c r="C49" s="1" t="s">
        <v>1651</v>
      </c>
      <c r="D49" s="1"/>
      <c r="E49" s="1"/>
      <c r="F49" s="1"/>
      <c r="G49" s="1"/>
      <c r="H49" s="1"/>
      <c r="I49" s="1"/>
      <c r="J49" s="1"/>
      <c r="K49" s="1"/>
      <c r="L49" s="1"/>
      <c r="M49" s="1"/>
    </row>
    <row r="50" spans="1:13" x14ac:dyDescent="0.25">
      <c r="B50" s="1"/>
      <c r="C50" s="1" t="s">
        <v>1660</v>
      </c>
      <c r="D50" s="1"/>
      <c r="E50" s="1"/>
      <c r="F50" s="1"/>
      <c r="G50" s="1"/>
      <c r="H50" s="1"/>
      <c r="I50" s="1"/>
      <c r="J50" s="1"/>
      <c r="K50" s="1"/>
      <c r="L50" s="1"/>
      <c r="M50" s="1"/>
    </row>
    <row r="51" spans="1:13" x14ac:dyDescent="0.25">
      <c r="C51" s="1" t="s">
        <v>8</v>
      </c>
    </row>
    <row r="52" spans="1:13" x14ac:dyDescent="0.25">
      <c r="C52" s="1" t="s">
        <v>1661</v>
      </c>
    </row>
    <row r="56" spans="1:13" x14ac:dyDescent="0.25">
      <c r="A56" t="s">
        <v>20</v>
      </c>
      <c r="B56" t="s">
        <v>21</v>
      </c>
    </row>
    <row r="57" spans="1:13" x14ac:dyDescent="0.25">
      <c r="B57" s="5" t="s">
        <v>1662</v>
      </c>
    </row>
    <row r="58" spans="1:13" x14ac:dyDescent="0.25">
      <c r="B58" t="s">
        <v>1663</v>
      </c>
    </row>
    <row r="64" spans="1:13" x14ac:dyDescent="0.25">
      <c r="B64" s="1"/>
      <c r="C64" s="1"/>
      <c r="D64" s="1"/>
      <c r="E64" s="1"/>
      <c r="F64" s="1"/>
      <c r="G64" s="1"/>
      <c r="H64" s="1"/>
      <c r="I64" s="1"/>
      <c r="J64" s="1"/>
      <c r="K64" s="1"/>
      <c r="L64" s="1"/>
      <c r="M64" s="1"/>
    </row>
    <row r="65" spans="1:13" x14ac:dyDescent="0.25">
      <c r="B65" s="1"/>
      <c r="C65" s="1"/>
      <c r="D65" s="1"/>
      <c r="E65" s="1"/>
      <c r="F65" s="1"/>
      <c r="G65" s="1"/>
      <c r="H65" s="1"/>
      <c r="I65" s="1"/>
      <c r="J65" s="1"/>
      <c r="K65" s="1"/>
      <c r="L65" s="1"/>
      <c r="M65" s="1"/>
    </row>
    <row r="66" spans="1:13" x14ac:dyDescent="0.25">
      <c r="A66" t="s">
        <v>22</v>
      </c>
      <c r="B66" t="s">
        <v>23</v>
      </c>
    </row>
    <row r="67" spans="1:13" ht="40.700000000000003" customHeight="1" x14ac:dyDescent="0.25">
      <c r="B67" s="473" t="s">
        <v>24</v>
      </c>
      <c r="C67" s="473"/>
      <c r="D67" s="473"/>
      <c r="E67" s="473"/>
      <c r="F67" s="473"/>
      <c r="G67" s="473"/>
      <c r="H67" s="473"/>
      <c r="I67" s="473"/>
      <c r="J67" s="473"/>
      <c r="K67" s="473"/>
      <c r="L67" s="1"/>
      <c r="M67" s="1"/>
    </row>
    <row r="68" spans="1:13" x14ac:dyDescent="0.25">
      <c r="B68" s="2"/>
      <c r="C68" s="2"/>
      <c r="D68" s="2"/>
      <c r="E68" s="2"/>
      <c r="F68" s="2"/>
      <c r="G68" s="2"/>
      <c r="H68" s="2"/>
      <c r="I68" s="2"/>
      <c r="J68" s="2"/>
      <c r="K68" s="2"/>
      <c r="L68" s="1"/>
      <c r="M68" s="1"/>
    </row>
    <row r="69" spans="1:13" x14ac:dyDescent="0.25">
      <c r="C69" s="1" t="s">
        <v>1664</v>
      </c>
      <c r="D69" s="1"/>
      <c r="E69" s="2"/>
      <c r="F69" s="2"/>
      <c r="G69" s="2"/>
      <c r="H69" s="2"/>
      <c r="I69" s="2"/>
      <c r="J69" s="2"/>
      <c r="K69" s="2"/>
      <c r="L69" s="1"/>
      <c r="M69" s="1"/>
    </row>
    <row r="70" spans="1:13" x14ac:dyDescent="0.25">
      <c r="C70" s="1" t="s">
        <v>1665</v>
      </c>
      <c r="D70" s="1"/>
    </row>
    <row r="71" spans="1:13" x14ac:dyDescent="0.25">
      <c r="C71" s="1" t="s">
        <v>1666</v>
      </c>
      <c r="D71" s="1"/>
    </row>
    <row r="72" spans="1:13" x14ac:dyDescent="0.25">
      <c r="C72" s="1" t="s">
        <v>1667</v>
      </c>
      <c r="D72" s="1"/>
    </row>
    <row r="73" spans="1:13" x14ac:dyDescent="0.25">
      <c r="C73" s="1" t="s">
        <v>8</v>
      </c>
      <c r="D73" s="1"/>
    </row>
    <row r="74" spans="1:13" x14ac:dyDescent="0.25">
      <c r="C74" s="1" t="s">
        <v>1668</v>
      </c>
      <c r="D74" s="1"/>
    </row>
    <row r="77" spans="1:13" x14ac:dyDescent="0.25">
      <c r="B77" s="1"/>
      <c r="C77" s="1"/>
      <c r="D77" s="1"/>
      <c r="E77" s="1"/>
      <c r="F77" s="1"/>
      <c r="G77" s="1"/>
      <c r="H77" s="1"/>
      <c r="I77" s="1"/>
      <c r="J77" s="1"/>
      <c r="K77" s="1"/>
      <c r="L77" s="1"/>
      <c r="M77" s="1"/>
    </row>
    <row r="78" spans="1:13" x14ac:dyDescent="0.25">
      <c r="B78" s="1"/>
      <c r="C78" s="1"/>
      <c r="D78" s="1"/>
      <c r="E78" s="1"/>
      <c r="F78" s="1"/>
      <c r="G78" s="1"/>
      <c r="H78" s="1"/>
      <c r="I78" s="1"/>
      <c r="J78" s="1"/>
      <c r="K78" s="1"/>
      <c r="L78" s="1"/>
      <c r="M78" s="1"/>
    </row>
    <row r="79" spans="1:13" x14ac:dyDescent="0.25">
      <c r="B79" s="1"/>
      <c r="C79" s="1"/>
      <c r="D79" s="1"/>
      <c r="E79" s="1"/>
      <c r="F79" s="1"/>
      <c r="G79" s="1"/>
      <c r="H79" s="1"/>
      <c r="I79" s="1"/>
      <c r="J79" s="1"/>
      <c r="K79" s="1"/>
      <c r="L79" s="1"/>
      <c r="M79" s="1"/>
    </row>
  </sheetData>
  <mergeCells count="3">
    <mergeCell ref="A1:I1"/>
    <mergeCell ref="A2:K5"/>
    <mergeCell ref="B67:K6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6780F-3418-4005-BB4F-67940E693A57}">
  <dimension ref="A1:M117"/>
  <sheetViews>
    <sheetView workbookViewId="0">
      <selection activeCell="P18" sqref="P18"/>
    </sheetView>
  </sheetViews>
  <sheetFormatPr defaultRowHeight="15" x14ac:dyDescent="0.25"/>
  <sheetData>
    <row r="1" spans="1:13" ht="20.25" x14ac:dyDescent="0.25">
      <c r="A1" s="474" t="s">
        <v>0</v>
      </c>
      <c r="B1" s="474"/>
      <c r="C1" s="474"/>
      <c r="D1" s="474"/>
      <c r="E1" s="474"/>
      <c r="F1" s="474"/>
      <c r="G1" s="474"/>
      <c r="H1" s="474"/>
      <c r="I1" s="474"/>
    </row>
    <row r="2" spans="1:13" ht="15" customHeight="1" x14ac:dyDescent="0.25">
      <c r="A2" s="463" t="s">
        <v>1070</v>
      </c>
      <c r="B2" s="463"/>
      <c r="C2" s="463"/>
      <c r="D2" s="463"/>
      <c r="E2" s="463"/>
      <c r="F2" s="463"/>
      <c r="G2" s="463"/>
      <c r="H2" s="463"/>
      <c r="I2" s="463"/>
      <c r="J2" s="463"/>
      <c r="K2" s="463"/>
      <c r="L2" s="3"/>
      <c r="M2" s="3"/>
    </row>
    <row r="3" spans="1:13" x14ac:dyDescent="0.25">
      <c r="A3" s="463"/>
      <c r="B3" s="463"/>
      <c r="C3" s="463"/>
      <c r="D3" s="463"/>
      <c r="E3" s="463"/>
      <c r="F3" s="463"/>
      <c r="G3" s="463"/>
      <c r="H3" s="463"/>
      <c r="I3" s="463"/>
      <c r="J3" s="463"/>
      <c r="K3" s="463"/>
      <c r="L3" s="3"/>
      <c r="M3" s="3"/>
    </row>
    <row r="4" spans="1:13" x14ac:dyDescent="0.25">
      <c r="A4" s="463"/>
      <c r="B4" s="463"/>
      <c r="C4" s="463"/>
      <c r="D4" s="463"/>
      <c r="E4" s="463"/>
      <c r="F4" s="463"/>
      <c r="G4" s="463"/>
      <c r="H4" s="463"/>
      <c r="I4" s="463"/>
      <c r="J4" s="463"/>
      <c r="K4" s="463"/>
      <c r="L4" s="3"/>
      <c r="M4" s="3"/>
    </row>
    <row r="5" spans="1:13" x14ac:dyDescent="0.25">
      <c r="A5" s="463"/>
      <c r="B5" s="463"/>
      <c r="C5" s="463"/>
      <c r="D5" s="463"/>
      <c r="E5" s="463"/>
      <c r="F5" s="463"/>
      <c r="G5" s="463"/>
      <c r="H5" s="463"/>
      <c r="I5" s="463"/>
      <c r="J5" s="463"/>
      <c r="K5" s="463"/>
      <c r="L5" s="3"/>
      <c r="M5" s="3"/>
    </row>
    <row r="8" spans="1:13" x14ac:dyDescent="0.25">
      <c r="A8" t="s">
        <v>10</v>
      </c>
      <c r="B8" t="s">
        <v>11</v>
      </c>
    </row>
    <row r="10" spans="1:13" x14ac:dyDescent="0.25">
      <c r="A10" s="4" t="s">
        <v>25</v>
      </c>
      <c r="E10" s="4" t="s">
        <v>26</v>
      </c>
      <c r="I10" s="4" t="s">
        <v>27</v>
      </c>
    </row>
    <row r="11" spans="1:13" x14ac:dyDescent="0.25">
      <c r="A11" t="s">
        <v>28</v>
      </c>
      <c r="E11" t="s">
        <v>1074</v>
      </c>
      <c r="I11" t="s">
        <v>29</v>
      </c>
    </row>
    <row r="12" spans="1:13" x14ac:dyDescent="0.25">
      <c r="A12" t="s">
        <v>30</v>
      </c>
      <c r="E12" t="s">
        <v>31</v>
      </c>
      <c r="I12" t="s">
        <v>31</v>
      </c>
    </row>
    <row r="13" spans="1:13" x14ac:dyDescent="0.25">
      <c r="A13" t="s">
        <v>32</v>
      </c>
      <c r="E13" t="s">
        <v>32</v>
      </c>
      <c r="I13" t="s">
        <v>32</v>
      </c>
    </row>
    <row r="14" spans="1:13" x14ac:dyDescent="0.25">
      <c r="A14" t="s">
        <v>33</v>
      </c>
      <c r="E14" t="s">
        <v>34</v>
      </c>
      <c r="I14" t="s">
        <v>34</v>
      </c>
    </row>
    <row r="15" spans="1:13" x14ac:dyDescent="0.25">
      <c r="A15" s="4" t="s">
        <v>35</v>
      </c>
      <c r="B15" s="4"/>
      <c r="C15" s="4"/>
      <c r="E15" s="4" t="s">
        <v>1075</v>
      </c>
      <c r="I15" s="4" t="s">
        <v>36</v>
      </c>
    </row>
    <row r="16" spans="1:13" x14ac:dyDescent="0.25">
      <c r="A16" t="s">
        <v>1076</v>
      </c>
      <c r="C16" s="449"/>
    </row>
    <row r="17" spans="1:9" x14ac:dyDescent="0.25">
      <c r="A17" s="4" t="s">
        <v>1077</v>
      </c>
      <c r="B17" s="4"/>
      <c r="E17" s="4"/>
    </row>
    <row r="19" spans="1:9" x14ac:dyDescent="0.25">
      <c r="A19" s="4" t="s">
        <v>1078</v>
      </c>
    </row>
    <row r="20" spans="1:9" x14ac:dyDescent="0.25">
      <c r="A20" s="4" t="s">
        <v>1079</v>
      </c>
    </row>
    <row r="23" spans="1:9" x14ac:dyDescent="0.25">
      <c r="A23" t="s">
        <v>12</v>
      </c>
      <c r="B23" t="s">
        <v>13</v>
      </c>
    </row>
    <row r="25" spans="1:9" x14ac:dyDescent="0.25">
      <c r="A25" s="4" t="s">
        <v>25</v>
      </c>
      <c r="E25" s="4" t="s">
        <v>26</v>
      </c>
      <c r="I25" s="4" t="s">
        <v>27</v>
      </c>
    </row>
    <row r="26" spans="1:9" x14ac:dyDescent="0.25">
      <c r="A26" t="s">
        <v>28</v>
      </c>
      <c r="E26" t="s">
        <v>1074</v>
      </c>
      <c r="I26" t="s">
        <v>29</v>
      </c>
    </row>
    <row r="27" spans="1:9" x14ac:dyDescent="0.25">
      <c r="A27" t="s">
        <v>30</v>
      </c>
      <c r="E27" t="s">
        <v>31</v>
      </c>
      <c r="I27" t="s">
        <v>31</v>
      </c>
    </row>
    <row r="28" spans="1:9" x14ac:dyDescent="0.25">
      <c r="A28" t="s">
        <v>32</v>
      </c>
      <c r="E28" t="s">
        <v>32</v>
      </c>
      <c r="I28" t="s">
        <v>32</v>
      </c>
    </row>
    <row r="29" spans="1:9" x14ac:dyDescent="0.25">
      <c r="A29" t="s">
        <v>33</v>
      </c>
      <c r="E29" t="s">
        <v>34</v>
      </c>
      <c r="I29" t="s">
        <v>34</v>
      </c>
    </row>
    <row r="30" spans="1:9" x14ac:dyDescent="0.25">
      <c r="A30" s="4" t="s">
        <v>35</v>
      </c>
      <c r="B30" s="4"/>
      <c r="C30" s="4"/>
      <c r="E30" s="4" t="s">
        <v>1075</v>
      </c>
      <c r="I30" s="4" t="s">
        <v>36</v>
      </c>
    </row>
    <row r="31" spans="1:9" x14ac:dyDescent="0.25">
      <c r="A31" t="s">
        <v>1076</v>
      </c>
      <c r="C31" s="449"/>
    </row>
    <row r="32" spans="1:9" x14ac:dyDescent="0.25">
      <c r="A32" s="4" t="s">
        <v>1077</v>
      </c>
      <c r="B32" s="4"/>
      <c r="E32" s="4"/>
    </row>
    <row r="34" spans="1:10" x14ac:dyDescent="0.25">
      <c r="A34" s="4" t="s">
        <v>1078</v>
      </c>
    </row>
    <row r="35" spans="1:10" x14ac:dyDescent="0.25">
      <c r="A35" s="4" t="s">
        <v>1079</v>
      </c>
    </row>
    <row r="38" spans="1:10" x14ac:dyDescent="0.25">
      <c r="A38" t="s">
        <v>15</v>
      </c>
      <c r="B38" t="s">
        <v>16</v>
      </c>
    </row>
    <row r="40" spans="1:10" x14ac:dyDescent="0.25">
      <c r="A40" s="4" t="s">
        <v>25</v>
      </c>
      <c r="E40" s="4" t="s">
        <v>26</v>
      </c>
      <c r="I40" s="4" t="s">
        <v>27</v>
      </c>
    </row>
    <row r="41" spans="1:10" x14ac:dyDescent="0.25">
      <c r="A41" t="s">
        <v>37</v>
      </c>
      <c r="E41" t="s">
        <v>1080</v>
      </c>
      <c r="I41" t="s">
        <v>38</v>
      </c>
    </row>
    <row r="42" spans="1:10" x14ac:dyDescent="0.25">
      <c r="A42" t="s">
        <v>39</v>
      </c>
      <c r="E42" t="s">
        <v>31</v>
      </c>
      <c r="I42" t="s">
        <v>31</v>
      </c>
    </row>
    <row r="43" spans="1:10" x14ac:dyDescent="0.25">
      <c r="A43" t="s">
        <v>32</v>
      </c>
      <c r="E43" t="s">
        <v>40</v>
      </c>
      <c r="I43" t="s">
        <v>40</v>
      </c>
    </row>
    <row r="44" spans="1:10" x14ac:dyDescent="0.25">
      <c r="A44" t="s">
        <v>41</v>
      </c>
      <c r="E44" t="s">
        <v>42</v>
      </c>
      <c r="I44" t="s">
        <v>42</v>
      </c>
    </row>
    <row r="45" spans="1:10" x14ac:dyDescent="0.25">
      <c r="A45" s="4" t="s">
        <v>43</v>
      </c>
      <c r="E45" s="4" t="s">
        <v>1081</v>
      </c>
      <c r="I45" s="4" t="s">
        <v>44</v>
      </c>
    </row>
    <row r="46" spans="1:10" x14ac:dyDescent="0.25">
      <c r="A46" t="s">
        <v>1076</v>
      </c>
    </row>
    <row r="47" spans="1:10" x14ac:dyDescent="0.25">
      <c r="A47" s="4" t="s">
        <v>1082</v>
      </c>
      <c r="B47" s="4"/>
      <c r="C47" s="4"/>
      <c r="D47" s="4"/>
      <c r="E47" s="4"/>
      <c r="F47" s="4"/>
      <c r="I47" s="4"/>
      <c r="J47" s="4"/>
    </row>
    <row r="49" spans="1:13" x14ac:dyDescent="0.25">
      <c r="A49" s="4" t="s">
        <v>45</v>
      </c>
    </row>
    <row r="51" spans="1:13" x14ac:dyDescent="0.25">
      <c r="A51" t="s">
        <v>28</v>
      </c>
      <c r="E51" t="s">
        <v>46</v>
      </c>
    </row>
    <row r="52" spans="1:13" x14ac:dyDescent="0.25">
      <c r="A52" t="s">
        <v>39</v>
      </c>
      <c r="E52" t="s">
        <v>47</v>
      </c>
    </row>
    <row r="53" spans="1:13" x14ac:dyDescent="0.25">
      <c r="A53" t="s">
        <v>32</v>
      </c>
    </row>
    <row r="54" spans="1:13" x14ac:dyDescent="0.25">
      <c r="A54" t="s">
        <v>48</v>
      </c>
    </row>
    <row r="55" spans="1:13" x14ac:dyDescent="0.25">
      <c r="A55" s="4" t="s">
        <v>43</v>
      </c>
      <c r="B55" s="4"/>
      <c r="C55" s="4"/>
    </row>
    <row r="56" spans="1:13" x14ac:dyDescent="0.25">
      <c r="A56" t="s">
        <v>1076</v>
      </c>
    </row>
    <row r="57" spans="1:13" x14ac:dyDescent="0.25">
      <c r="A57" s="4" t="s">
        <v>1082</v>
      </c>
      <c r="H57" s="1"/>
      <c r="I57" s="1"/>
      <c r="J57" s="1"/>
      <c r="K57" s="1"/>
      <c r="L57" s="1"/>
      <c r="M57" s="1"/>
    </row>
    <row r="58" spans="1:13" x14ac:dyDescent="0.25">
      <c r="H58" s="1"/>
      <c r="I58" s="1"/>
      <c r="J58" s="1"/>
      <c r="K58" s="1"/>
      <c r="L58" s="1"/>
      <c r="M58" s="1"/>
    </row>
    <row r="59" spans="1:13" x14ac:dyDescent="0.25">
      <c r="A59" s="4" t="s">
        <v>1678</v>
      </c>
      <c r="H59" s="1"/>
      <c r="I59" s="1"/>
      <c r="J59" s="1"/>
      <c r="K59" s="1"/>
      <c r="L59" s="1"/>
      <c r="M59" s="1"/>
    </row>
    <row r="60" spans="1:13" x14ac:dyDescent="0.25">
      <c r="A60" s="4" t="s">
        <v>1083</v>
      </c>
    </row>
    <row r="61" spans="1:13" x14ac:dyDescent="0.25">
      <c r="A61" s="4"/>
    </row>
    <row r="62" spans="1:13" x14ac:dyDescent="0.25">
      <c r="A62" s="4"/>
    </row>
    <row r="63" spans="1:13" x14ac:dyDescent="0.25">
      <c r="A63" t="s">
        <v>17</v>
      </c>
      <c r="B63" t="s">
        <v>18</v>
      </c>
    </row>
    <row r="65" spans="1:11" x14ac:dyDescent="0.25">
      <c r="A65" s="4" t="s">
        <v>25</v>
      </c>
      <c r="E65" s="4" t="s">
        <v>26</v>
      </c>
      <c r="I65" s="4" t="s">
        <v>27</v>
      </c>
    </row>
    <row r="66" spans="1:11" x14ac:dyDescent="0.25">
      <c r="A66" t="s">
        <v>49</v>
      </c>
      <c r="E66" t="s">
        <v>1084</v>
      </c>
      <c r="I66" t="s">
        <v>50</v>
      </c>
    </row>
    <row r="67" spans="1:11" x14ac:dyDescent="0.25">
      <c r="A67" t="s">
        <v>51</v>
      </c>
      <c r="E67" t="s">
        <v>31</v>
      </c>
      <c r="I67" t="s">
        <v>31</v>
      </c>
    </row>
    <row r="68" spans="1:11" x14ac:dyDescent="0.25">
      <c r="A68" t="s">
        <v>32</v>
      </c>
      <c r="E68" t="s">
        <v>32</v>
      </c>
      <c r="I68" t="s">
        <v>32</v>
      </c>
    </row>
    <row r="69" spans="1:11" x14ac:dyDescent="0.25">
      <c r="A69" t="s">
        <v>52</v>
      </c>
      <c r="E69" t="s">
        <v>53</v>
      </c>
      <c r="I69" t="s">
        <v>53</v>
      </c>
    </row>
    <row r="70" spans="1:11" x14ac:dyDescent="0.25">
      <c r="A70" s="4" t="s">
        <v>54</v>
      </c>
      <c r="B70" s="4"/>
      <c r="C70" s="4"/>
      <c r="D70" s="4"/>
      <c r="E70" s="4" t="s">
        <v>1085</v>
      </c>
      <c r="F70" s="4"/>
      <c r="G70" s="4"/>
      <c r="I70" s="4" t="s">
        <v>55</v>
      </c>
      <c r="J70" s="4"/>
      <c r="K70" s="4"/>
    </row>
    <row r="71" spans="1:11" x14ac:dyDescent="0.25">
      <c r="A71" t="s">
        <v>1076</v>
      </c>
      <c r="B71" s="1"/>
      <c r="C71" s="1"/>
      <c r="D71" s="1"/>
      <c r="E71" s="1"/>
      <c r="F71" s="1"/>
      <c r="G71" s="1"/>
      <c r="H71" s="1"/>
      <c r="I71" s="1"/>
      <c r="J71" s="1"/>
      <c r="K71" s="1"/>
    </row>
    <row r="72" spans="1:11" x14ac:dyDescent="0.25">
      <c r="A72" s="4" t="s">
        <v>1086</v>
      </c>
      <c r="B72" s="72"/>
      <c r="C72" s="72"/>
      <c r="D72" s="72"/>
      <c r="E72" s="72"/>
      <c r="F72" s="72"/>
      <c r="G72" s="72"/>
      <c r="H72" s="1"/>
      <c r="I72" s="72"/>
      <c r="J72" s="72"/>
      <c r="K72" s="72"/>
    </row>
    <row r="73" spans="1:11" x14ac:dyDescent="0.25">
      <c r="B73" s="1"/>
      <c r="C73" s="1"/>
      <c r="D73" s="1"/>
      <c r="E73" s="1"/>
      <c r="F73" s="1"/>
      <c r="G73" s="1"/>
      <c r="H73" s="1"/>
      <c r="I73" s="1"/>
      <c r="J73" s="1"/>
    </row>
    <row r="74" spans="1:11" x14ac:dyDescent="0.25">
      <c r="A74" s="4" t="s">
        <v>1087</v>
      </c>
    </row>
    <row r="75" spans="1:11" x14ac:dyDescent="0.25">
      <c r="A75" s="4" t="s">
        <v>1088</v>
      </c>
    </row>
    <row r="76" spans="1:11" x14ac:dyDescent="0.25">
      <c r="A76" s="4"/>
    </row>
    <row r="77" spans="1:11" x14ac:dyDescent="0.25">
      <c r="A77" s="4"/>
    </row>
    <row r="78" spans="1:11" x14ac:dyDescent="0.25">
      <c r="A78" t="s">
        <v>20</v>
      </c>
      <c r="B78" t="s">
        <v>21</v>
      </c>
    </row>
    <row r="80" spans="1:11" x14ac:dyDescent="0.25">
      <c r="A80" s="4" t="s">
        <v>25</v>
      </c>
      <c r="E80" s="4" t="s">
        <v>46</v>
      </c>
    </row>
    <row r="81" spans="1:5" x14ac:dyDescent="0.25">
      <c r="A81" t="s">
        <v>28</v>
      </c>
      <c r="E81" t="s">
        <v>56</v>
      </c>
    </row>
    <row r="82" spans="1:5" x14ac:dyDescent="0.25">
      <c r="A82" t="s">
        <v>39</v>
      </c>
    </row>
    <row r="83" spans="1:5" x14ac:dyDescent="0.25">
      <c r="A83" t="s">
        <v>32</v>
      </c>
    </row>
    <row r="84" spans="1:5" x14ac:dyDescent="0.25">
      <c r="A84" t="s">
        <v>57</v>
      </c>
    </row>
    <row r="85" spans="1:5" x14ac:dyDescent="0.25">
      <c r="A85" s="4" t="s">
        <v>58</v>
      </c>
    </row>
    <row r="86" spans="1:5" x14ac:dyDescent="0.25">
      <c r="A86" t="s">
        <v>1076</v>
      </c>
    </row>
    <row r="87" spans="1:5" x14ac:dyDescent="0.25">
      <c r="A87" s="4" t="s">
        <v>1089</v>
      </c>
    </row>
    <row r="88" spans="1:5" x14ac:dyDescent="0.25">
      <c r="A88" s="4"/>
    </row>
    <row r="89" spans="1:5" x14ac:dyDescent="0.25">
      <c r="A89" s="450" t="s">
        <v>59</v>
      </c>
    </row>
    <row r="90" spans="1:5" x14ac:dyDescent="0.25">
      <c r="A90" t="s">
        <v>49</v>
      </c>
    </row>
    <row r="91" spans="1:5" x14ac:dyDescent="0.25">
      <c r="A91" t="s">
        <v>51</v>
      </c>
    </row>
    <row r="92" spans="1:5" x14ac:dyDescent="0.25">
      <c r="A92" t="s">
        <v>32</v>
      </c>
    </row>
    <row r="93" spans="1:5" x14ac:dyDescent="0.25">
      <c r="A93" t="s">
        <v>60</v>
      </c>
    </row>
    <row r="94" spans="1:5" x14ac:dyDescent="0.25">
      <c r="A94" s="4" t="s">
        <v>61</v>
      </c>
    </row>
    <row r="95" spans="1:5" x14ac:dyDescent="0.25">
      <c r="A95" t="s">
        <v>1090</v>
      </c>
    </row>
    <row r="96" spans="1:5" x14ac:dyDescent="0.25">
      <c r="A96" s="4" t="s">
        <v>1091</v>
      </c>
    </row>
    <row r="98" spans="1:13" x14ac:dyDescent="0.25">
      <c r="A98" s="4" t="s">
        <v>1092</v>
      </c>
    </row>
    <row r="99" spans="1:13" x14ac:dyDescent="0.25">
      <c r="A99" s="4" t="s">
        <v>1093</v>
      </c>
      <c r="B99" s="1"/>
      <c r="C99" s="1"/>
      <c r="D99" s="1"/>
      <c r="E99" s="1"/>
      <c r="F99" s="1"/>
      <c r="G99" s="1"/>
      <c r="H99" s="1"/>
      <c r="I99" s="1"/>
      <c r="J99" s="1"/>
    </row>
    <row r="100" spans="1:13" x14ac:dyDescent="0.25">
      <c r="B100" s="1"/>
      <c r="C100" s="1"/>
      <c r="D100" s="1"/>
      <c r="E100" s="1"/>
      <c r="F100" s="1"/>
      <c r="G100" s="1"/>
      <c r="H100" s="1"/>
      <c r="I100" s="1"/>
      <c r="J100" s="1"/>
      <c r="K100" s="1"/>
    </row>
    <row r="101" spans="1:13" x14ac:dyDescent="0.25">
      <c r="B101" s="1"/>
      <c r="C101" s="1"/>
      <c r="D101" s="1"/>
      <c r="E101" s="1"/>
      <c r="F101" s="1"/>
      <c r="G101" s="1"/>
      <c r="H101" s="1"/>
      <c r="I101" s="1"/>
      <c r="J101" s="1"/>
      <c r="K101" s="1"/>
      <c r="L101" s="1"/>
      <c r="M101" s="1"/>
    </row>
    <row r="102" spans="1:13" x14ac:dyDescent="0.25">
      <c r="B102" s="1"/>
      <c r="C102" s="1"/>
      <c r="D102" s="1"/>
      <c r="E102" s="1"/>
      <c r="F102" s="1"/>
      <c r="G102" s="1"/>
      <c r="H102" s="1"/>
      <c r="I102" s="1"/>
      <c r="J102" s="1"/>
      <c r="K102" s="1"/>
      <c r="L102" s="1"/>
      <c r="M102" s="1"/>
    </row>
    <row r="103" spans="1:13" x14ac:dyDescent="0.25">
      <c r="A103" t="s">
        <v>22</v>
      </c>
      <c r="B103" t="s">
        <v>23</v>
      </c>
    </row>
    <row r="104" spans="1:13" ht="40.5" customHeight="1" x14ac:dyDescent="0.25">
      <c r="B104" s="473" t="s">
        <v>24</v>
      </c>
      <c r="C104" s="473"/>
      <c r="D104" s="473"/>
      <c r="E104" s="473"/>
      <c r="F104" s="473"/>
      <c r="G104" s="473"/>
      <c r="H104" s="473"/>
      <c r="I104" s="473"/>
      <c r="J104" s="473"/>
      <c r="K104" s="473"/>
      <c r="L104" s="1"/>
      <c r="M104" s="1"/>
    </row>
    <row r="105" spans="1:13" x14ac:dyDescent="0.25">
      <c r="B105" s="2"/>
      <c r="C105" s="2"/>
      <c r="D105" s="2"/>
      <c r="E105" s="2"/>
      <c r="F105" s="2"/>
      <c r="G105" s="2"/>
      <c r="H105" s="2"/>
      <c r="I105" s="2"/>
      <c r="J105" s="2"/>
      <c r="K105" s="2"/>
      <c r="L105" s="1"/>
      <c r="M105" s="1"/>
    </row>
    <row r="106" spans="1:13" x14ac:dyDescent="0.25">
      <c r="B106" s="2"/>
      <c r="C106" s="2"/>
      <c r="D106" s="2"/>
      <c r="E106" s="2"/>
      <c r="F106" s="2"/>
      <c r="G106" s="2"/>
      <c r="H106" s="2"/>
      <c r="I106" s="2"/>
      <c r="J106" s="2"/>
      <c r="K106" s="2"/>
      <c r="L106" s="1"/>
      <c r="M106" s="1"/>
    </row>
    <row r="107" spans="1:13" x14ac:dyDescent="0.25">
      <c r="A107" s="4" t="s">
        <v>25</v>
      </c>
      <c r="E107" s="4" t="s">
        <v>26</v>
      </c>
      <c r="G107" s="2"/>
      <c r="I107" s="4" t="s">
        <v>27</v>
      </c>
      <c r="K107" s="2"/>
    </row>
    <row r="108" spans="1:13" x14ac:dyDescent="0.25">
      <c r="A108" t="s">
        <v>62</v>
      </c>
      <c r="E108" t="s">
        <v>1094</v>
      </c>
      <c r="I108" t="s">
        <v>63</v>
      </c>
    </row>
    <row r="109" spans="1:13" x14ac:dyDescent="0.25">
      <c r="A109" t="s">
        <v>64</v>
      </c>
      <c r="E109" t="s">
        <v>65</v>
      </c>
      <c r="I109" t="s">
        <v>65</v>
      </c>
    </row>
    <row r="110" spans="1:13" x14ac:dyDescent="0.25">
      <c r="A110" t="s">
        <v>32</v>
      </c>
      <c r="E110" t="s">
        <v>32</v>
      </c>
      <c r="I110" t="s">
        <v>32</v>
      </c>
    </row>
    <row r="111" spans="1:13" x14ac:dyDescent="0.25">
      <c r="A111" t="s">
        <v>66</v>
      </c>
      <c r="E111" t="s">
        <v>34</v>
      </c>
      <c r="I111" t="s">
        <v>34</v>
      </c>
    </row>
    <row r="112" spans="1:13" x14ac:dyDescent="0.25">
      <c r="A112" s="4" t="s">
        <v>67</v>
      </c>
      <c r="E112" s="4" t="s">
        <v>1095</v>
      </c>
      <c r="I112" s="4" t="s">
        <v>68</v>
      </c>
    </row>
    <row r="113" spans="1:13" x14ac:dyDescent="0.25">
      <c r="A113" t="s">
        <v>1076</v>
      </c>
    </row>
    <row r="114" spans="1:13" x14ac:dyDescent="0.25">
      <c r="A114" s="4" t="s">
        <v>1096</v>
      </c>
      <c r="E114" s="4"/>
      <c r="H114" s="1"/>
      <c r="I114" s="1"/>
      <c r="J114" s="1"/>
      <c r="K114" s="1"/>
      <c r="L114" s="1"/>
      <c r="M114" s="1"/>
    </row>
    <row r="115" spans="1:13" x14ac:dyDescent="0.25">
      <c r="B115" s="1"/>
      <c r="C115" s="1"/>
      <c r="D115" s="1"/>
      <c r="E115" s="1"/>
      <c r="F115" s="1"/>
      <c r="G115" s="1"/>
      <c r="H115" s="1"/>
      <c r="I115" s="1"/>
      <c r="J115" s="1"/>
      <c r="K115" s="1"/>
      <c r="L115" s="1"/>
      <c r="M115" s="1"/>
    </row>
    <row r="116" spans="1:13" x14ac:dyDescent="0.25">
      <c r="A116" s="4" t="s">
        <v>1097</v>
      </c>
      <c r="B116" s="1"/>
      <c r="C116" s="1"/>
      <c r="D116" s="1"/>
      <c r="E116" s="1"/>
      <c r="F116" s="1"/>
      <c r="G116" s="1"/>
      <c r="H116" s="1"/>
      <c r="I116" s="1"/>
      <c r="J116" s="1"/>
      <c r="K116" s="1"/>
      <c r="L116" s="1"/>
      <c r="M116" s="1"/>
    </row>
    <row r="117" spans="1:13" x14ac:dyDescent="0.25">
      <c r="A117" s="4" t="s">
        <v>1098</v>
      </c>
      <c r="B117" s="1"/>
      <c r="C117" s="1"/>
      <c r="D117" s="1"/>
      <c r="E117" s="1"/>
      <c r="F117" s="1"/>
      <c r="G117" s="1"/>
    </row>
  </sheetData>
  <mergeCells count="3">
    <mergeCell ref="A1:I1"/>
    <mergeCell ref="A2:K5"/>
    <mergeCell ref="B104:K10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E2A4A-AB9C-40D6-BDEC-9AFBA032E6C4}">
  <dimension ref="A1:M149"/>
  <sheetViews>
    <sheetView workbookViewId="0">
      <selection activeCell="I19" sqref="I19"/>
    </sheetView>
  </sheetViews>
  <sheetFormatPr defaultRowHeight="15" x14ac:dyDescent="0.25"/>
  <cols>
    <col min="1" max="1" width="24.42578125" customWidth="1"/>
    <col min="4" max="4" width="4.7109375" customWidth="1"/>
    <col min="5" max="5" width="10.85546875" customWidth="1"/>
    <col min="6" max="6" width="9.85546875" customWidth="1"/>
    <col min="7" max="7" width="13.7109375" customWidth="1"/>
    <col min="9" max="9" width="10" customWidth="1"/>
  </cols>
  <sheetData>
    <row r="1" spans="1:13" ht="20.25" x14ac:dyDescent="0.3">
      <c r="A1" s="472" t="s">
        <v>1099</v>
      </c>
      <c r="B1" s="472"/>
      <c r="C1" s="472"/>
      <c r="D1" s="472"/>
      <c r="E1" s="472"/>
      <c r="F1" s="472"/>
      <c r="G1" s="472"/>
      <c r="H1" s="472"/>
      <c r="I1" s="472"/>
    </row>
    <row r="2" spans="1:13" ht="15" customHeight="1" x14ac:dyDescent="0.25">
      <c r="A2" s="476" t="s">
        <v>1070</v>
      </c>
      <c r="B2" s="476"/>
      <c r="C2" s="476"/>
      <c r="D2" s="476"/>
      <c r="E2" s="476"/>
      <c r="F2" s="476"/>
      <c r="G2" s="476"/>
      <c r="H2" s="476"/>
      <c r="I2" s="476"/>
      <c r="J2" s="3"/>
      <c r="K2" s="3"/>
      <c r="L2" s="3"/>
      <c r="M2" s="3"/>
    </row>
    <row r="3" spans="1:13" x14ac:dyDescent="0.25">
      <c r="A3" s="476"/>
      <c r="B3" s="476"/>
      <c r="C3" s="476"/>
      <c r="D3" s="476"/>
      <c r="E3" s="476"/>
      <c r="F3" s="476"/>
      <c r="G3" s="476"/>
      <c r="H3" s="476"/>
      <c r="I3" s="476"/>
      <c r="J3" s="3"/>
      <c r="K3" s="3"/>
      <c r="L3" s="3"/>
      <c r="M3" s="3"/>
    </row>
    <row r="4" spans="1:13" x14ac:dyDescent="0.25">
      <c r="A4" s="476"/>
      <c r="B4" s="476"/>
      <c r="C4" s="476"/>
      <c r="D4" s="476"/>
      <c r="E4" s="476"/>
      <c r="F4" s="476"/>
      <c r="G4" s="476"/>
      <c r="H4" s="476"/>
      <c r="I4" s="476"/>
      <c r="J4" s="3"/>
      <c r="K4" s="3"/>
      <c r="L4" s="3"/>
      <c r="M4" s="3"/>
    </row>
    <row r="5" spans="1:13" x14ac:dyDescent="0.25">
      <c r="A5" s="476"/>
      <c r="B5" s="476"/>
      <c r="C5" s="476"/>
      <c r="D5" s="476"/>
      <c r="E5" s="476"/>
      <c r="F5" s="476"/>
      <c r="G5" s="476"/>
      <c r="H5" s="476"/>
      <c r="I5" s="476"/>
      <c r="J5" s="3"/>
      <c r="K5" s="3"/>
      <c r="L5" s="3"/>
      <c r="M5" s="3"/>
    </row>
    <row r="6" spans="1:13" x14ac:dyDescent="0.25">
      <c r="A6" s="3"/>
      <c r="B6" s="3"/>
      <c r="C6" s="3"/>
      <c r="D6" s="3"/>
      <c r="E6" s="3"/>
      <c r="F6" s="3"/>
      <c r="G6" s="3"/>
      <c r="H6" s="3"/>
      <c r="I6" s="3"/>
    </row>
    <row r="8" spans="1:13" x14ac:dyDescent="0.25">
      <c r="B8" s="1" t="s">
        <v>2</v>
      </c>
      <c r="C8" s="1" t="s">
        <v>3</v>
      </c>
      <c r="D8" s="1"/>
      <c r="E8" s="1"/>
      <c r="F8" s="1"/>
      <c r="G8" s="1"/>
      <c r="H8" s="1"/>
    </row>
    <row r="9" spans="1:13" x14ac:dyDescent="0.25">
      <c r="B9" s="1"/>
      <c r="C9" s="1" t="s">
        <v>4</v>
      </c>
      <c r="D9" s="1"/>
      <c r="E9" s="1"/>
      <c r="F9" s="1"/>
      <c r="G9" s="1"/>
      <c r="H9" s="1"/>
    </row>
    <row r="10" spans="1:13" x14ac:dyDescent="0.25">
      <c r="B10" s="1" t="s">
        <v>5</v>
      </c>
      <c r="C10" s="1" t="s">
        <v>6</v>
      </c>
      <c r="D10" s="1"/>
      <c r="E10" s="1"/>
      <c r="F10" s="1"/>
      <c r="G10" s="1"/>
      <c r="H10" s="1"/>
    </row>
    <row r="11" spans="1:13" x14ac:dyDescent="0.25">
      <c r="B11" s="1"/>
      <c r="C11" s="1" t="s">
        <v>7</v>
      </c>
      <c r="D11" s="1"/>
      <c r="E11" s="1"/>
      <c r="F11" s="1"/>
      <c r="G11" s="1"/>
      <c r="H11" s="1"/>
    </row>
    <row r="12" spans="1:13" x14ac:dyDescent="0.25">
      <c r="B12" s="1"/>
      <c r="C12" s="1" t="s">
        <v>8</v>
      </c>
      <c r="D12" s="1"/>
      <c r="E12" s="1"/>
      <c r="F12" s="1"/>
      <c r="G12" s="1"/>
      <c r="H12" s="1"/>
    </row>
    <row r="13" spans="1:13" x14ac:dyDescent="0.25">
      <c r="B13" s="1"/>
      <c r="C13" s="1" t="s">
        <v>9</v>
      </c>
      <c r="D13" s="1"/>
      <c r="E13" s="1"/>
      <c r="F13" s="1"/>
      <c r="G13" s="1"/>
      <c r="H13" s="1"/>
    </row>
    <row r="16" spans="1:13" x14ac:dyDescent="0.25">
      <c r="A16" s="145" t="s">
        <v>10</v>
      </c>
      <c r="B16" s="145" t="s">
        <v>11</v>
      </c>
      <c r="C16" s="145"/>
      <c r="D16" s="145"/>
      <c r="E16" s="145"/>
      <c r="F16" s="145"/>
      <c r="G16" s="145"/>
      <c r="H16" s="145"/>
      <c r="I16" s="145"/>
    </row>
    <row r="17" spans="1:9" x14ac:dyDescent="0.25">
      <c r="A17" s="6" t="s">
        <v>1100</v>
      </c>
      <c r="B17" s="146"/>
      <c r="C17" s="146"/>
      <c r="D17" s="146"/>
      <c r="E17" s="146"/>
      <c r="F17" s="146"/>
      <c r="G17" s="146"/>
      <c r="H17" s="146"/>
      <c r="I17" s="146"/>
    </row>
    <row r="18" spans="1:9" x14ac:dyDescent="0.25">
      <c r="A18" s="6" t="s">
        <v>69</v>
      </c>
      <c r="B18" s="146"/>
      <c r="C18" s="146"/>
      <c r="D18" s="146"/>
      <c r="E18" s="146"/>
      <c r="F18" s="146"/>
      <c r="G18" s="146"/>
      <c r="H18" s="146"/>
      <c r="I18" s="146"/>
    </row>
    <row r="19" spans="1:9" x14ac:dyDescent="0.25">
      <c r="A19" s="6" t="s">
        <v>1101</v>
      </c>
      <c r="B19" s="146"/>
      <c r="C19" s="146"/>
      <c r="D19" s="146"/>
      <c r="E19" s="146"/>
      <c r="F19" s="146"/>
      <c r="G19" s="146"/>
      <c r="H19" s="146"/>
      <c r="I19" s="146"/>
    </row>
    <row r="20" spans="1:9" x14ac:dyDescent="0.25">
      <c r="A20" s="6" t="s">
        <v>70</v>
      </c>
      <c r="B20" s="146"/>
      <c r="C20" s="146"/>
      <c r="D20" s="146"/>
      <c r="E20" s="146"/>
      <c r="F20" s="146"/>
      <c r="G20" s="146"/>
      <c r="H20" s="146"/>
      <c r="I20" s="146"/>
    </row>
    <row r="21" spans="1:9" x14ac:dyDescent="0.25">
      <c r="A21" s="6" t="s">
        <v>71</v>
      </c>
      <c r="B21" s="146"/>
      <c r="C21" s="146"/>
      <c r="D21" s="146"/>
      <c r="E21" s="146"/>
      <c r="F21" s="146"/>
      <c r="G21" s="146"/>
      <c r="H21" s="146"/>
      <c r="I21" s="146"/>
    </row>
    <row r="22" spans="1:9" x14ac:dyDescent="0.25">
      <c r="A22" s="6" t="s">
        <v>72</v>
      </c>
      <c r="B22" s="146"/>
      <c r="C22" s="146"/>
      <c r="D22" s="146"/>
      <c r="E22" s="146"/>
      <c r="F22" s="146"/>
      <c r="G22" s="146"/>
      <c r="H22" s="146"/>
      <c r="I22" s="146"/>
    </row>
    <row r="23" spans="1:9" x14ac:dyDescent="0.25">
      <c r="A23" s="6"/>
      <c r="B23" s="146"/>
      <c r="C23" s="146"/>
      <c r="D23" s="146"/>
      <c r="E23" s="146"/>
      <c r="F23" s="146"/>
      <c r="G23" s="146"/>
      <c r="H23" s="146"/>
      <c r="I23" s="146"/>
    </row>
    <row r="24" spans="1:9" x14ac:dyDescent="0.25">
      <c r="A24" s="475" t="s">
        <v>73</v>
      </c>
      <c r="B24" s="475"/>
      <c r="C24" s="475"/>
      <c r="D24" s="475"/>
      <c r="E24" s="146"/>
      <c r="F24" s="146"/>
      <c r="G24" s="146"/>
      <c r="H24" s="146"/>
      <c r="I24" s="146"/>
    </row>
    <row r="25" spans="1:9" x14ac:dyDescent="0.25">
      <c r="A25" s="5" t="s">
        <v>74</v>
      </c>
      <c r="B25" s="5"/>
      <c r="C25" s="147">
        <v>118</v>
      </c>
      <c r="D25" s="5"/>
      <c r="E25" s="5"/>
      <c r="F25" s="5"/>
      <c r="G25" s="5"/>
      <c r="H25" s="5"/>
      <c r="I25" s="146"/>
    </row>
    <row r="26" spans="1:9" x14ac:dyDescent="0.25">
      <c r="A26" s="5" t="s">
        <v>75</v>
      </c>
      <c r="B26" s="5"/>
      <c r="C26" s="147">
        <v>122</v>
      </c>
      <c r="D26" s="5"/>
      <c r="E26" s="5"/>
      <c r="F26" s="5"/>
      <c r="G26" s="5"/>
      <c r="H26" s="5"/>
      <c r="I26" s="146"/>
    </row>
    <row r="27" spans="1:9" x14ac:dyDescent="0.25">
      <c r="A27" s="5" t="s">
        <v>76</v>
      </c>
      <c r="B27" s="5"/>
      <c r="C27" s="147">
        <v>1942</v>
      </c>
      <c r="D27" s="5"/>
      <c r="E27" s="5"/>
      <c r="F27" s="5"/>
      <c r="G27" s="5"/>
      <c r="H27" s="5"/>
      <c r="I27" s="146"/>
    </row>
    <row r="28" spans="1:9" x14ac:dyDescent="0.25">
      <c r="A28" s="5" t="s">
        <v>77</v>
      </c>
      <c r="B28" s="5"/>
      <c r="C28" s="147">
        <v>3</v>
      </c>
      <c r="D28" s="5"/>
      <c r="E28" s="5"/>
      <c r="F28" s="5"/>
      <c r="G28" s="5"/>
      <c r="H28" s="5"/>
      <c r="I28" s="146"/>
    </row>
    <row r="29" spans="1:9" x14ac:dyDescent="0.25">
      <c r="A29" s="5" t="s">
        <v>78</v>
      </c>
      <c r="B29" s="18" t="s">
        <v>79</v>
      </c>
      <c r="C29" s="148">
        <f>F37</f>
        <v>885</v>
      </c>
      <c r="D29" s="5"/>
      <c r="E29" s="5" t="s">
        <v>80</v>
      </c>
      <c r="F29" s="5"/>
      <c r="G29" s="149"/>
      <c r="H29" s="5"/>
      <c r="I29" s="146"/>
    </row>
    <row r="30" spans="1:9" x14ac:dyDescent="0.25">
      <c r="A30" s="18" t="s">
        <v>81</v>
      </c>
      <c r="B30" s="5"/>
      <c r="C30" s="147">
        <f>SUM(C25:C29)</f>
        <v>3070</v>
      </c>
      <c r="D30" s="5"/>
      <c r="E30" s="5"/>
      <c r="F30" s="5"/>
      <c r="G30" s="149"/>
      <c r="H30" s="5"/>
      <c r="I30" s="146"/>
    </row>
    <row r="31" spans="1:9" x14ac:dyDescent="0.25">
      <c r="A31" s="18" t="s">
        <v>82</v>
      </c>
      <c r="B31" s="18" t="s">
        <v>83</v>
      </c>
      <c r="C31" s="150">
        <v>1.6949200000000001E-2</v>
      </c>
      <c r="D31" s="5"/>
      <c r="E31" s="5"/>
      <c r="F31" s="5"/>
      <c r="G31" s="5"/>
      <c r="H31" s="5"/>
      <c r="I31" s="146"/>
    </row>
    <row r="32" spans="1:9" ht="15.75" thickBot="1" x14ac:dyDescent="0.3">
      <c r="A32" s="5"/>
      <c r="B32" s="5"/>
      <c r="C32" s="151">
        <f>C30*C31</f>
        <v>52.034044000000002</v>
      </c>
      <c r="D32" s="5"/>
      <c r="E32" s="5" t="s">
        <v>84</v>
      </c>
      <c r="F32" s="152">
        <f>ROUND(C32,0)</f>
        <v>52</v>
      </c>
      <c r="G32" s="146"/>
      <c r="H32" s="18" t="s">
        <v>85</v>
      </c>
      <c r="I32" s="153">
        <f>F32</f>
        <v>52</v>
      </c>
    </row>
    <row r="33" spans="1:9" ht="15.75" thickTop="1" x14ac:dyDescent="0.25">
      <c r="A33" s="5"/>
      <c r="B33" s="5"/>
      <c r="C33" s="149"/>
      <c r="D33" s="5"/>
      <c r="E33" s="5"/>
      <c r="F33" s="5"/>
      <c r="G33" s="5"/>
      <c r="H33" s="5"/>
      <c r="I33" s="146"/>
    </row>
    <row r="34" spans="1:9" x14ac:dyDescent="0.25">
      <c r="A34" s="475" t="s">
        <v>86</v>
      </c>
      <c r="B34" s="475"/>
      <c r="C34" s="475"/>
      <c r="D34" s="475"/>
      <c r="E34" s="6"/>
      <c r="F34" s="5"/>
      <c r="G34" s="5"/>
      <c r="H34" s="5"/>
      <c r="I34" s="146"/>
    </row>
    <row r="35" spans="1:9" x14ac:dyDescent="0.25">
      <c r="A35" s="5" t="s">
        <v>87</v>
      </c>
      <c r="B35" s="5"/>
      <c r="C35" s="147">
        <v>136100</v>
      </c>
      <c r="D35" s="5"/>
      <c r="E35" s="5"/>
      <c r="F35" s="5"/>
      <c r="G35" s="5"/>
      <c r="H35" s="5"/>
      <c r="I35" s="146"/>
    </row>
    <row r="36" spans="1:9" x14ac:dyDescent="0.25">
      <c r="A36" s="5" t="s">
        <v>88</v>
      </c>
      <c r="B36" s="18" t="s">
        <v>83</v>
      </c>
      <c r="C36" s="154">
        <v>6.4999999999999997E-3</v>
      </c>
      <c r="D36" s="5"/>
      <c r="E36" s="5"/>
      <c r="F36" s="5"/>
      <c r="G36" s="5"/>
      <c r="H36" s="5"/>
      <c r="I36" s="146"/>
    </row>
    <row r="37" spans="1:9" ht="15.75" thickBot="1" x14ac:dyDescent="0.3">
      <c r="A37" s="5"/>
      <c r="B37" s="5"/>
      <c r="C37" s="151">
        <f>SUM(C35*C36)</f>
        <v>884.65</v>
      </c>
      <c r="D37" s="5"/>
      <c r="E37" s="5" t="s">
        <v>89</v>
      </c>
      <c r="F37" s="152">
        <f>ROUND(C37,0)</f>
        <v>885</v>
      </c>
      <c r="G37" s="5"/>
      <c r="H37" s="5"/>
      <c r="I37" s="146"/>
    </row>
    <row r="38" spans="1:9" ht="15.75" thickTop="1" x14ac:dyDescent="0.25"/>
    <row r="39" spans="1:9" x14ac:dyDescent="0.25">
      <c r="A39" s="145" t="s">
        <v>12</v>
      </c>
      <c r="B39" s="145" t="s">
        <v>13</v>
      </c>
      <c r="C39" s="145"/>
      <c r="D39" s="145"/>
      <c r="E39" s="145"/>
      <c r="F39" s="145"/>
      <c r="G39" s="145"/>
      <c r="H39" s="145"/>
      <c r="I39" s="145"/>
    </row>
    <row r="40" spans="1:9" x14ac:dyDescent="0.25">
      <c r="A40" s="6" t="s">
        <v>1100</v>
      </c>
      <c r="B40" s="146"/>
      <c r="C40" s="146"/>
      <c r="D40" s="146"/>
      <c r="E40" s="146"/>
      <c r="F40" s="146"/>
      <c r="G40" s="146"/>
      <c r="H40" s="146"/>
      <c r="I40" s="146"/>
    </row>
    <row r="41" spans="1:9" x14ac:dyDescent="0.25">
      <c r="A41" s="6" t="s">
        <v>69</v>
      </c>
      <c r="B41" s="146"/>
      <c r="C41" s="146"/>
      <c r="D41" s="146"/>
      <c r="E41" s="146"/>
      <c r="F41" s="146"/>
      <c r="G41" s="146"/>
      <c r="H41" s="146"/>
      <c r="I41" s="146"/>
    </row>
    <row r="42" spans="1:9" x14ac:dyDescent="0.25">
      <c r="A42" s="6" t="s">
        <v>1101</v>
      </c>
      <c r="B42" s="146"/>
      <c r="C42" s="146"/>
      <c r="D42" s="146"/>
      <c r="E42" s="146"/>
      <c r="F42" s="146"/>
      <c r="G42" s="146"/>
      <c r="H42" s="146"/>
      <c r="I42" s="146"/>
    </row>
    <row r="43" spans="1:9" x14ac:dyDescent="0.25">
      <c r="A43" s="6" t="s">
        <v>70</v>
      </c>
      <c r="B43" s="146"/>
      <c r="C43" s="146"/>
      <c r="D43" s="146"/>
      <c r="E43" s="146"/>
      <c r="F43" s="146"/>
      <c r="G43" s="146"/>
      <c r="H43" s="146"/>
      <c r="I43" s="146"/>
    </row>
    <row r="44" spans="1:9" x14ac:dyDescent="0.25">
      <c r="A44" s="6" t="s">
        <v>71</v>
      </c>
      <c r="B44" s="146"/>
      <c r="C44" s="146"/>
      <c r="D44" s="146"/>
      <c r="E44" s="146"/>
      <c r="F44" s="146"/>
      <c r="G44" s="146"/>
      <c r="H44" s="146"/>
      <c r="I44" s="146"/>
    </row>
    <row r="45" spans="1:9" x14ac:dyDescent="0.25">
      <c r="A45" s="6" t="s">
        <v>72</v>
      </c>
      <c r="B45" s="146"/>
      <c r="C45" s="146"/>
      <c r="D45" s="146"/>
      <c r="E45" s="146"/>
      <c r="F45" s="146"/>
      <c r="G45" s="146"/>
      <c r="H45" s="146"/>
      <c r="I45" s="146"/>
    </row>
    <row r="46" spans="1:9" x14ac:dyDescent="0.25">
      <c r="A46" s="6"/>
      <c r="B46" s="146"/>
      <c r="C46" s="146"/>
      <c r="D46" s="146"/>
      <c r="E46" s="146"/>
      <c r="F46" s="146"/>
      <c r="G46" s="146"/>
      <c r="H46" s="146"/>
      <c r="I46" s="146"/>
    </row>
    <row r="47" spans="1:9" x14ac:dyDescent="0.25">
      <c r="A47" s="475" t="s">
        <v>73</v>
      </c>
      <c r="B47" s="475"/>
      <c r="C47" s="475"/>
      <c r="D47" s="475"/>
      <c r="E47" s="146"/>
      <c r="F47" s="146"/>
      <c r="G47" s="146"/>
      <c r="H47" s="146"/>
      <c r="I47" s="146"/>
    </row>
    <row r="48" spans="1:9" x14ac:dyDescent="0.25">
      <c r="A48" s="5" t="s">
        <v>74</v>
      </c>
      <c r="B48" s="5"/>
      <c r="C48" s="147">
        <v>118</v>
      </c>
      <c r="D48" s="5"/>
      <c r="E48" s="5"/>
      <c r="F48" s="5"/>
      <c r="G48" s="5"/>
      <c r="H48" s="146"/>
      <c r="I48" s="146"/>
    </row>
    <row r="49" spans="1:13" x14ac:dyDescent="0.25">
      <c r="A49" s="5" t="s">
        <v>75</v>
      </c>
      <c r="B49" s="5"/>
      <c r="C49" s="147">
        <v>122</v>
      </c>
      <c r="D49" s="5"/>
      <c r="E49" s="5"/>
      <c r="F49" s="5"/>
      <c r="G49" s="5"/>
      <c r="H49" s="146"/>
      <c r="I49" s="146"/>
      <c r="J49" s="1"/>
      <c r="K49" s="1"/>
      <c r="L49" s="1"/>
      <c r="M49" s="1"/>
    </row>
    <row r="50" spans="1:13" x14ac:dyDescent="0.25">
      <c r="A50" s="5" t="s">
        <v>76</v>
      </c>
      <c r="B50" s="5"/>
      <c r="C50" s="147">
        <v>1942</v>
      </c>
      <c r="D50" s="5"/>
      <c r="E50" s="5"/>
      <c r="F50" s="5"/>
      <c r="G50" s="5"/>
      <c r="H50" s="146"/>
      <c r="I50" s="146"/>
      <c r="J50" s="1"/>
      <c r="K50" s="1"/>
      <c r="L50" s="1"/>
      <c r="M50" s="1"/>
    </row>
    <row r="51" spans="1:13" x14ac:dyDescent="0.25">
      <c r="A51" s="5" t="s">
        <v>77</v>
      </c>
      <c r="B51" s="5"/>
      <c r="C51" s="147">
        <v>3</v>
      </c>
      <c r="D51" s="5"/>
      <c r="E51" s="5"/>
      <c r="F51" s="5"/>
      <c r="G51" s="5"/>
      <c r="H51" s="146"/>
      <c r="I51" s="146"/>
      <c r="J51" s="1"/>
      <c r="K51" s="1"/>
      <c r="L51" s="1"/>
      <c r="M51" s="1"/>
    </row>
    <row r="52" spans="1:13" x14ac:dyDescent="0.25">
      <c r="A52" s="5" t="s">
        <v>78</v>
      </c>
      <c r="B52" s="18" t="s">
        <v>79</v>
      </c>
      <c r="C52" s="148">
        <f>F60</f>
        <v>885</v>
      </c>
      <c r="D52" s="5"/>
      <c r="E52" s="5" t="s">
        <v>80</v>
      </c>
      <c r="F52" s="5"/>
      <c r="G52" s="149"/>
      <c r="H52" s="146"/>
      <c r="I52" s="146"/>
    </row>
    <row r="53" spans="1:13" x14ac:dyDescent="0.25">
      <c r="A53" s="18" t="s">
        <v>81</v>
      </c>
      <c r="B53" s="5"/>
      <c r="C53" s="147">
        <f>SUM(C48:C52)</f>
        <v>3070</v>
      </c>
      <c r="D53" s="5"/>
      <c r="E53" s="5"/>
      <c r="F53" s="5"/>
      <c r="G53" s="149"/>
      <c r="H53" s="146"/>
      <c r="I53" s="146"/>
    </row>
    <row r="54" spans="1:13" x14ac:dyDescent="0.25">
      <c r="A54" s="18" t="s">
        <v>82</v>
      </c>
      <c r="B54" s="18" t="s">
        <v>83</v>
      </c>
      <c r="C54" s="150">
        <v>1.6949200000000001E-2</v>
      </c>
      <c r="D54" s="5"/>
      <c r="E54" s="5"/>
      <c r="F54" s="5"/>
      <c r="G54" s="5"/>
      <c r="H54" s="146"/>
      <c r="I54" s="146"/>
    </row>
    <row r="55" spans="1:13" ht="15.75" thickBot="1" x14ac:dyDescent="0.3">
      <c r="A55" s="5"/>
      <c r="B55" s="5"/>
      <c r="C55" s="151">
        <f>C53*C54</f>
        <v>52.034044000000002</v>
      </c>
      <c r="D55" s="5"/>
      <c r="E55" s="5" t="s">
        <v>84</v>
      </c>
      <c r="F55" s="152">
        <f>ROUND(C55,0)</f>
        <v>52</v>
      </c>
      <c r="G55" s="6"/>
      <c r="H55" s="18" t="s">
        <v>85</v>
      </c>
      <c r="I55" s="153">
        <f>F55</f>
        <v>52</v>
      </c>
    </row>
    <row r="56" spans="1:13" ht="15.75" thickTop="1" x14ac:dyDescent="0.25">
      <c r="A56" s="5"/>
      <c r="B56" s="5"/>
      <c r="C56" s="149"/>
      <c r="D56" s="5"/>
      <c r="E56" s="5"/>
      <c r="F56" s="5"/>
      <c r="G56" s="5"/>
      <c r="H56" s="146"/>
      <c r="I56" s="146"/>
    </row>
    <row r="57" spans="1:13" x14ac:dyDescent="0.25">
      <c r="A57" s="475" t="s">
        <v>86</v>
      </c>
      <c r="B57" s="475"/>
      <c r="C57" s="475"/>
      <c r="D57" s="475"/>
      <c r="E57" s="6"/>
      <c r="F57" s="5"/>
      <c r="G57" s="5"/>
      <c r="H57" s="146"/>
      <c r="I57" s="146"/>
    </row>
    <row r="58" spans="1:13" x14ac:dyDescent="0.25">
      <c r="A58" s="5" t="s">
        <v>87</v>
      </c>
      <c r="B58" s="5"/>
      <c r="C58" s="147">
        <v>136100</v>
      </c>
      <c r="D58" s="5"/>
      <c r="E58" s="5"/>
      <c r="F58" s="5"/>
      <c r="G58" s="5"/>
      <c r="H58" s="146"/>
      <c r="I58" s="146"/>
    </row>
    <row r="59" spans="1:13" x14ac:dyDescent="0.25">
      <c r="A59" s="5" t="s">
        <v>88</v>
      </c>
      <c r="B59" s="18" t="s">
        <v>83</v>
      </c>
      <c r="C59" s="154">
        <v>6.4999999999999997E-3</v>
      </c>
      <c r="D59" s="5"/>
      <c r="E59" s="5"/>
      <c r="F59" s="5"/>
      <c r="G59" s="5"/>
      <c r="H59" s="146"/>
      <c r="I59" s="146"/>
    </row>
    <row r="60" spans="1:13" ht="15.75" thickBot="1" x14ac:dyDescent="0.3">
      <c r="A60" s="5"/>
      <c r="B60" s="5"/>
      <c r="C60" s="151">
        <f>SUM(C58*C59)</f>
        <v>884.65</v>
      </c>
      <c r="D60" s="5"/>
      <c r="E60" s="5" t="s">
        <v>89</v>
      </c>
      <c r="F60" s="152">
        <f>ROUND(C60,0)</f>
        <v>885</v>
      </c>
      <c r="G60" s="5"/>
      <c r="H60" s="146"/>
      <c r="I60" s="146"/>
    </row>
    <row r="61" spans="1:13" ht="15.75" thickTop="1" x14ac:dyDescent="0.25"/>
    <row r="62" spans="1:13" x14ac:dyDescent="0.25">
      <c r="A62" s="145" t="s">
        <v>15</v>
      </c>
      <c r="B62" s="145" t="s">
        <v>16</v>
      </c>
      <c r="C62" s="145"/>
      <c r="D62" s="145"/>
      <c r="E62" s="145"/>
      <c r="F62" s="145"/>
      <c r="G62" s="145"/>
      <c r="H62" s="145"/>
      <c r="I62" s="145"/>
    </row>
    <row r="63" spans="1:13" x14ac:dyDescent="0.25">
      <c r="A63" s="6" t="s">
        <v>1102</v>
      </c>
      <c r="B63" s="146"/>
      <c r="C63" s="146"/>
      <c r="D63" s="146"/>
      <c r="E63" s="146"/>
      <c r="F63" s="146"/>
      <c r="G63" s="146"/>
      <c r="H63" s="146"/>
      <c r="I63" s="146"/>
    </row>
    <row r="64" spans="1:13" x14ac:dyDescent="0.25">
      <c r="A64" s="19" t="s">
        <v>69</v>
      </c>
      <c r="B64" s="6"/>
      <c r="C64" s="149"/>
      <c r="D64" s="5"/>
      <c r="E64" s="5"/>
      <c r="F64" s="5"/>
      <c r="G64" s="155"/>
      <c r="H64" s="5"/>
      <c r="I64" s="5"/>
    </row>
    <row r="65" spans="1:13" x14ac:dyDescent="0.25">
      <c r="A65" s="19" t="s">
        <v>1103</v>
      </c>
      <c r="B65" s="6"/>
      <c r="C65" s="149"/>
      <c r="D65" s="5"/>
      <c r="E65" s="5"/>
      <c r="F65" s="5"/>
      <c r="G65" s="5"/>
      <c r="H65" s="5"/>
      <c r="I65" s="5"/>
      <c r="J65" s="1"/>
      <c r="K65" s="1"/>
      <c r="L65" s="1"/>
      <c r="M65" s="1"/>
    </row>
    <row r="66" spans="1:13" x14ac:dyDescent="0.25">
      <c r="A66" s="19" t="s">
        <v>90</v>
      </c>
      <c r="B66" s="6"/>
      <c r="C66" s="149"/>
      <c r="D66" s="5"/>
      <c r="E66" s="5"/>
      <c r="F66" s="5"/>
      <c r="G66" s="5"/>
      <c r="H66" s="5"/>
      <c r="I66" s="5"/>
      <c r="J66" s="1"/>
      <c r="K66" s="1"/>
      <c r="L66" s="1"/>
      <c r="M66" s="1"/>
    </row>
    <row r="67" spans="1:13" x14ac:dyDescent="0.25">
      <c r="A67" s="19" t="s">
        <v>71</v>
      </c>
      <c r="B67" s="6"/>
      <c r="C67" s="149"/>
      <c r="D67" s="5"/>
      <c r="E67" s="5"/>
      <c r="F67" s="5"/>
      <c r="G67" s="5"/>
      <c r="H67" s="5"/>
      <c r="I67" s="5"/>
    </row>
    <row r="68" spans="1:13" x14ac:dyDescent="0.25">
      <c r="A68" s="19" t="s">
        <v>72</v>
      </c>
      <c r="B68" s="6"/>
      <c r="C68" s="149"/>
      <c r="D68" s="5"/>
      <c r="E68" s="5"/>
      <c r="F68" s="5"/>
      <c r="G68" s="5"/>
      <c r="H68" s="5"/>
      <c r="I68" s="5"/>
      <c r="J68" s="2"/>
      <c r="K68" s="2"/>
      <c r="L68" s="1"/>
      <c r="M68" s="1"/>
    </row>
    <row r="69" spans="1:13" x14ac:dyDescent="0.25">
      <c r="A69" s="19"/>
      <c r="B69" s="6"/>
      <c r="C69" s="149"/>
      <c r="D69" s="5"/>
      <c r="E69" s="5"/>
      <c r="F69" s="5"/>
      <c r="G69" s="5"/>
      <c r="H69" s="5"/>
      <c r="I69" s="5"/>
      <c r="J69" s="2"/>
      <c r="K69" s="2"/>
      <c r="L69" s="1"/>
      <c r="M69" s="1"/>
    </row>
    <row r="70" spans="1:13" x14ac:dyDescent="0.25">
      <c r="A70" s="475" t="s">
        <v>73</v>
      </c>
      <c r="B70" s="475"/>
      <c r="C70" s="475"/>
      <c r="D70" s="475"/>
      <c r="E70" s="5"/>
      <c r="F70" s="5"/>
      <c r="G70" s="5"/>
      <c r="H70" s="5"/>
      <c r="I70" s="5"/>
      <c r="J70" s="2"/>
      <c r="K70" s="2"/>
      <c r="L70" s="1"/>
      <c r="M70" s="1"/>
    </row>
    <row r="71" spans="1:13" x14ac:dyDescent="0.25">
      <c r="A71" s="20" t="s">
        <v>74</v>
      </c>
      <c r="B71" s="5"/>
      <c r="C71" s="147">
        <v>118</v>
      </c>
      <c r="D71" s="5"/>
      <c r="E71" s="5"/>
      <c r="F71" s="5"/>
      <c r="G71" s="5"/>
      <c r="H71" s="5"/>
      <c r="I71" s="5"/>
    </row>
    <row r="72" spans="1:13" x14ac:dyDescent="0.25">
      <c r="A72" s="20" t="s">
        <v>75</v>
      </c>
      <c r="B72" s="5"/>
      <c r="C72" s="147">
        <v>122</v>
      </c>
      <c r="D72" s="5"/>
      <c r="E72" s="5"/>
      <c r="F72" s="5"/>
      <c r="G72" s="5"/>
      <c r="H72" s="5"/>
      <c r="I72" s="5"/>
    </row>
    <row r="73" spans="1:13" x14ac:dyDescent="0.25">
      <c r="A73" s="20" t="s">
        <v>78</v>
      </c>
      <c r="B73" s="5"/>
      <c r="C73" s="147">
        <f>F85</f>
        <v>974</v>
      </c>
      <c r="D73" s="5"/>
      <c r="E73" s="5" t="s">
        <v>80</v>
      </c>
      <c r="F73" s="5"/>
      <c r="G73" s="5"/>
      <c r="H73" s="5"/>
      <c r="I73" s="5"/>
    </row>
    <row r="74" spans="1:13" x14ac:dyDescent="0.25">
      <c r="A74" s="20" t="s">
        <v>77</v>
      </c>
      <c r="B74" s="5"/>
      <c r="C74" s="147">
        <v>3</v>
      </c>
      <c r="D74" s="5"/>
      <c r="E74" s="5"/>
      <c r="F74" s="5"/>
      <c r="G74" s="5"/>
      <c r="H74" s="5"/>
      <c r="I74" s="5"/>
    </row>
    <row r="75" spans="1:13" x14ac:dyDescent="0.25">
      <c r="A75" s="20" t="s">
        <v>76</v>
      </c>
      <c r="B75" s="18" t="s">
        <v>79</v>
      </c>
      <c r="C75" s="148">
        <v>162</v>
      </c>
      <c r="D75" s="5"/>
      <c r="E75" s="5" t="s">
        <v>91</v>
      </c>
      <c r="F75" s="5"/>
      <c r="G75" s="149"/>
      <c r="H75" s="5"/>
      <c r="I75" s="5"/>
    </row>
    <row r="76" spans="1:13" x14ac:dyDescent="0.25">
      <c r="A76" s="18" t="s">
        <v>92</v>
      </c>
      <c r="B76" s="5"/>
      <c r="C76" s="147">
        <f>SUM(C71:C75)</f>
        <v>1379</v>
      </c>
      <c r="D76" s="5"/>
      <c r="E76" s="5"/>
      <c r="F76" s="5"/>
      <c r="G76" s="149"/>
      <c r="H76" s="5"/>
      <c r="I76" s="5"/>
    </row>
    <row r="77" spans="1:13" x14ac:dyDescent="0.25">
      <c r="A77" s="18" t="s">
        <v>82</v>
      </c>
      <c r="B77" s="18" t="s">
        <v>83</v>
      </c>
      <c r="C77" s="150">
        <v>1.695E-2</v>
      </c>
      <c r="D77" s="5"/>
      <c r="E77" s="5"/>
      <c r="F77" s="5"/>
      <c r="G77" s="5"/>
      <c r="H77" s="5"/>
      <c r="I77" s="146"/>
    </row>
    <row r="78" spans="1:13" ht="15.75" thickBot="1" x14ac:dyDescent="0.3">
      <c r="A78" s="20"/>
      <c r="B78" s="5"/>
      <c r="C78" s="151">
        <f>SUM(C76*C77)</f>
        <v>23.37405</v>
      </c>
      <c r="D78" s="5"/>
      <c r="E78" s="5" t="s">
        <v>89</v>
      </c>
      <c r="F78" s="152">
        <f>ROUND(C78,0)</f>
        <v>23</v>
      </c>
      <c r="G78" s="146"/>
      <c r="H78" s="18" t="s">
        <v>85</v>
      </c>
      <c r="I78" s="153">
        <f>SUM(F78)</f>
        <v>23</v>
      </c>
      <c r="J78" s="1"/>
      <c r="K78" s="1"/>
      <c r="L78" s="1"/>
      <c r="M78" s="1"/>
    </row>
    <row r="79" spans="1:13" ht="15.75" thickTop="1" x14ac:dyDescent="0.25">
      <c r="A79" s="20"/>
      <c r="B79" s="5"/>
      <c r="C79" s="151"/>
      <c r="D79" s="5"/>
      <c r="E79" s="5"/>
      <c r="F79" s="156"/>
      <c r="G79" s="146"/>
      <c r="H79" s="21"/>
      <c r="I79" s="157"/>
      <c r="J79" s="1"/>
      <c r="K79" s="1"/>
      <c r="L79" s="1"/>
      <c r="M79" s="1"/>
    </row>
    <row r="80" spans="1:13" x14ac:dyDescent="0.25">
      <c r="A80" s="475" t="s">
        <v>86</v>
      </c>
      <c r="B80" s="475"/>
      <c r="C80" s="475"/>
      <c r="D80" s="475"/>
      <c r="E80" s="5"/>
      <c r="F80" s="5"/>
      <c r="G80" s="5"/>
      <c r="H80" s="5"/>
      <c r="I80" s="5"/>
      <c r="J80" s="1"/>
      <c r="K80" s="1"/>
      <c r="L80" s="1"/>
      <c r="M80" s="1"/>
    </row>
    <row r="81" spans="1:9" x14ac:dyDescent="0.25">
      <c r="A81" s="20" t="s">
        <v>87</v>
      </c>
      <c r="B81" s="5"/>
      <c r="C81" s="147">
        <v>199720</v>
      </c>
      <c r="D81" s="5"/>
      <c r="E81" s="5"/>
      <c r="F81" s="5"/>
      <c r="G81" s="5"/>
      <c r="H81" s="5"/>
      <c r="I81" s="5"/>
    </row>
    <row r="82" spans="1:9" x14ac:dyDescent="0.25">
      <c r="A82" s="20" t="s">
        <v>88</v>
      </c>
      <c r="B82" s="18" t="s">
        <v>83</v>
      </c>
      <c r="C82" s="158">
        <v>6.4999999999999997E-3</v>
      </c>
      <c r="D82" s="5"/>
      <c r="E82" s="5"/>
      <c r="F82" s="5"/>
      <c r="G82" s="5"/>
      <c r="H82" s="5"/>
      <c r="I82" s="5"/>
    </row>
    <row r="83" spans="1:9" ht="15.75" thickBot="1" x14ac:dyDescent="0.3">
      <c r="A83" s="20"/>
      <c r="B83" s="5"/>
      <c r="C83" s="151">
        <f>SUM(C81*C82)</f>
        <v>1298.1799999999998</v>
      </c>
      <c r="D83" s="5"/>
      <c r="E83" s="5" t="s">
        <v>84</v>
      </c>
      <c r="F83" s="152">
        <f>ROUND(C83,0)</f>
        <v>1298</v>
      </c>
      <c r="G83" s="146"/>
      <c r="H83" s="146"/>
      <c r="I83" s="5"/>
    </row>
    <row r="84" spans="1:9" ht="15.75" thickTop="1" x14ac:dyDescent="0.25">
      <c r="A84" s="20"/>
      <c r="B84" s="5"/>
      <c r="C84" s="151"/>
      <c r="D84" s="5"/>
      <c r="E84" s="146"/>
      <c r="F84" s="146"/>
      <c r="G84" s="146"/>
      <c r="H84" s="146"/>
      <c r="I84" s="5"/>
    </row>
    <row r="85" spans="1:9" x14ac:dyDescent="0.25">
      <c r="A85" s="20"/>
      <c r="B85" s="151" t="s">
        <v>93</v>
      </c>
      <c r="C85" s="68"/>
      <c r="D85" s="5"/>
      <c r="E85" s="5" t="s">
        <v>84</v>
      </c>
      <c r="F85" s="151">
        <v>974</v>
      </c>
      <c r="G85" s="146"/>
      <c r="H85" s="146"/>
      <c r="I85" s="5"/>
    </row>
    <row r="86" spans="1:9" x14ac:dyDescent="0.25">
      <c r="A86" s="20"/>
      <c r="B86" s="5"/>
      <c r="C86" s="151"/>
      <c r="D86" s="5"/>
      <c r="E86" s="5"/>
      <c r="F86" s="5"/>
      <c r="G86" s="159"/>
      <c r="H86" s="146"/>
      <c r="I86" s="5"/>
    </row>
    <row r="87" spans="1:9" x14ac:dyDescent="0.25">
      <c r="A87" s="475" t="s">
        <v>94</v>
      </c>
      <c r="B87" s="475"/>
      <c r="C87" s="475"/>
      <c r="D87" s="475"/>
      <c r="E87" s="5"/>
      <c r="F87" s="5"/>
      <c r="G87" s="159"/>
      <c r="H87" s="146"/>
      <c r="I87" s="5"/>
    </row>
    <row r="88" spans="1:9" x14ac:dyDescent="0.25">
      <c r="A88" s="19"/>
      <c r="B88" s="6"/>
      <c r="C88" s="147">
        <v>1457</v>
      </c>
      <c r="D88" s="5"/>
      <c r="E88" s="5" t="s">
        <v>95</v>
      </c>
      <c r="F88" s="5"/>
      <c r="G88" s="149"/>
      <c r="H88" s="146"/>
      <c r="I88" s="5"/>
    </row>
    <row r="89" spans="1:9" x14ac:dyDescent="0.25">
      <c r="A89" s="5"/>
      <c r="B89" s="18" t="s">
        <v>96</v>
      </c>
      <c r="C89" s="148">
        <v>1295</v>
      </c>
      <c r="D89" s="5"/>
      <c r="E89" s="5" t="s">
        <v>97</v>
      </c>
      <c r="F89" s="5"/>
      <c r="G89" s="149"/>
      <c r="H89" s="146"/>
      <c r="I89" s="5"/>
    </row>
    <row r="90" spans="1:9" x14ac:dyDescent="0.25">
      <c r="A90" s="5"/>
      <c r="B90" s="5"/>
      <c r="C90" s="147">
        <f>SUM(C88-C89)</f>
        <v>162</v>
      </c>
      <c r="D90" s="5"/>
      <c r="E90" s="5"/>
      <c r="F90" s="5"/>
      <c r="G90" s="149"/>
      <c r="H90" s="5"/>
      <c r="I90" s="5"/>
    </row>
    <row r="92" spans="1:9" x14ac:dyDescent="0.25">
      <c r="A92" s="145" t="s">
        <v>17</v>
      </c>
      <c r="B92" s="145" t="s">
        <v>18</v>
      </c>
      <c r="C92" s="145"/>
      <c r="D92" s="145"/>
      <c r="E92" s="145"/>
      <c r="F92" s="145"/>
      <c r="G92" s="145"/>
      <c r="H92" s="145"/>
      <c r="I92" s="145"/>
    </row>
    <row r="93" spans="1:9" x14ac:dyDescent="0.25">
      <c r="A93" s="6" t="s">
        <v>1104</v>
      </c>
      <c r="B93" s="5"/>
      <c r="C93" s="147"/>
      <c r="D93" s="5"/>
      <c r="E93" s="5"/>
      <c r="F93" s="5"/>
      <c r="G93" s="149"/>
      <c r="H93" s="5"/>
      <c r="I93" s="5"/>
    </row>
    <row r="94" spans="1:9" x14ac:dyDescent="0.25">
      <c r="A94" s="6" t="s">
        <v>69</v>
      </c>
      <c r="B94" s="146"/>
      <c r="C94" s="146"/>
      <c r="D94" s="146"/>
      <c r="E94" s="146"/>
      <c r="F94" s="146"/>
      <c r="G94" s="146"/>
      <c r="H94" s="146"/>
      <c r="I94" s="5"/>
    </row>
    <row r="95" spans="1:9" x14ac:dyDescent="0.25">
      <c r="A95" s="6" t="s">
        <v>1105</v>
      </c>
      <c r="B95" s="146"/>
      <c r="C95" s="146"/>
      <c r="D95" s="146"/>
      <c r="E95" s="146"/>
      <c r="F95" s="146"/>
      <c r="G95" s="146"/>
      <c r="H95" s="146"/>
      <c r="I95" s="5"/>
    </row>
    <row r="96" spans="1:9" x14ac:dyDescent="0.25">
      <c r="A96" s="6" t="s">
        <v>98</v>
      </c>
      <c r="B96" s="146"/>
      <c r="C96" s="146"/>
      <c r="D96" s="146"/>
      <c r="E96" s="146"/>
      <c r="F96" s="146"/>
      <c r="G96" s="146"/>
      <c r="H96" s="146"/>
      <c r="I96" s="5"/>
    </row>
    <row r="97" spans="1:9" x14ac:dyDescent="0.25">
      <c r="A97" s="6" t="s">
        <v>99</v>
      </c>
      <c r="B97" s="146"/>
      <c r="C97" s="146"/>
      <c r="D97" s="146"/>
      <c r="E97" s="146"/>
      <c r="F97" s="146"/>
      <c r="G97" s="146"/>
      <c r="H97" s="146"/>
      <c r="I97" s="5"/>
    </row>
    <row r="98" spans="1:9" x14ac:dyDescent="0.25">
      <c r="A98" s="6" t="s">
        <v>72</v>
      </c>
      <c r="B98" s="146"/>
      <c r="C98" s="146"/>
      <c r="D98" s="146"/>
      <c r="E98" s="146"/>
      <c r="F98" s="146"/>
      <c r="G98" s="146"/>
      <c r="H98" s="146"/>
      <c r="I98" s="5"/>
    </row>
    <row r="99" spans="1:9" x14ac:dyDescent="0.25">
      <c r="A99" s="6"/>
      <c r="B99" s="146"/>
      <c r="C99" s="146"/>
      <c r="D99" s="146"/>
      <c r="E99" s="146"/>
      <c r="F99" s="146"/>
      <c r="G99" s="146"/>
      <c r="H99" s="146"/>
      <c r="I99" s="5"/>
    </row>
    <row r="100" spans="1:9" x14ac:dyDescent="0.25">
      <c r="A100" s="475" t="s">
        <v>73</v>
      </c>
      <c r="B100" s="475"/>
      <c r="C100" s="475"/>
      <c r="D100" s="475"/>
      <c r="E100" s="146"/>
      <c r="F100" s="146"/>
      <c r="G100" s="146"/>
      <c r="H100" s="146"/>
      <c r="I100" s="5"/>
    </row>
    <row r="101" spans="1:9" x14ac:dyDescent="0.25">
      <c r="A101" s="5" t="s">
        <v>74</v>
      </c>
      <c r="B101" s="5"/>
      <c r="C101" s="147">
        <v>118</v>
      </c>
      <c r="D101" s="5"/>
      <c r="E101" s="5"/>
      <c r="F101" s="5"/>
      <c r="G101" s="5"/>
      <c r="H101" s="146"/>
      <c r="I101" s="5"/>
    </row>
    <row r="102" spans="1:9" x14ac:dyDescent="0.25">
      <c r="A102" s="5" t="s">
        <v>75</v>
      </c>
      <c r="B102" s="5"/>
      <c r="C102" s="147">
        <v>122</v>
      </c>
      <c r="D102" s="5"/>
      <c r="E102" s="5"/>
      <c r="F102" s="5"/>
      <c r="G102" s="5"/>
      <c r="H102" s="146"/>
      <c r="I102" s="5"/>
    </row>
    <row r="103" spans="1:9" x14ac:dyDescent="0.25">
      <c r="A103" s="5" t="s">
        <v>76</v>
      </c>
      <c r="B103" s="5"/>
      <c r="C103" s="147">
        <v>1098</v>
      </c>
      <c r="D103" s="5"/>
      <c r="E103" s="5"/>
      <c r="F103" s="5"/>
      <c r="G103" s="5"/>
      <c r="H103" s="146"/>
      <c r="I103" s="5"/>
    </row>
    <row r="104" spans="1:9" x14ac:dyDescent="0.25">
      <c r="A104" s="5" t="s">
        <v>77</v>
      </c>
      <c r="B104" s="5"/>
      <c r="C104" s="147">
        <v>3</v>
      </c>
      <c r="D104" s="5"/>
      <c r="E104" s="5"/>
      <c r="F104" s="5"/>
      <c r="G104" s="5"/>
      <c r="H104" s="146"/>
      <c r="I104" s="5"/>
    </row>
    <row r="105" spans="1:9" x14ac:dyDescent="0.25">
      <c r="A105" s="5" t="s">
        <v>78</v>
      </c>
      <c r="B105" s="18" t="s">
        <v>79</v>
      </c>
      <c r="C105" s="148">
        <f>F115</f>
        <v>721</v>
      </c>
      <c r="D105" s="5"/>
      <c r="E105" s="5" t="s">
        <v>80</v>
      </c>
      <c r="F105" s="5"/>
      <c r="G105" s="149"/>
      <c r="H105" s="146"/>
      <c r="I105" s="5"/>
    </row>
    <row r="106" spans="1:9" x14ac:dyDescent="0.25">
      <c r="A106" s="18" t="s">
        <v>81</v>
      </c>
      <c r="B106" s="5"/>
      <c r="C106" s="147">
        <f>SUM(C101:C105)</f>
        <v>2062</v>
      </c>
      <c r="D106" s="5"/>
      <c r="E106" s="5"/>
      <c r="F106" s="5"/>
      <c r="G106" s="149"/>
      <c r="H106" s="146"/>
      <c r="I106" s="5"/>
    </row>
    <row r="107" spans="1:9" x14ac:dyDescent="0.25">
      <c r="A107" s="18" t="s">
        <v>82</v>
      </c>
      <c r="B107" s="18" t="s">
        <v>83</v>
      </c>
      <c r="C107" s="150">
        <v>1.6949200000000001E-2</v>
      </c>
      <c r="D107" s="5"/>
      <c r="E107" s="5"/>
      <c r="F107" s="5"/>
      <c r="G107" s="5"/>
      <c r="I107" s="5"/>
    </row>
    <row r="108" spans="1:9" ht="15.75" thickBot="1" x14ac:dyDescent="0.3">
      <c r="A108" s="5"/>
      <c r="B108" s="5"/>
      <c r="C108" s="151">
        <f>C106*C107</f>
        <v>34.949250400000004</v>
      </c>
      <c r="D108" s="5"/>
      <c r="E108" s="5" t="s">
        <v>89</v>
      </c>
      <c r="F108" s="152">
        <f>ROUND(C108,0)</f>
        <v>35</v>
      </c>
      <c r="H108" s="18" t="s">
        <v>85</v>
      </c>
      <c r="I108" s="153">
        <f>F108</f>
        <v>35</v>
      </c>
    </row>
    <row r="109" spans="1:9" ht="15.75" thickTop="1" x14ac:dyDescent="0.25">
      <c r="A109" s="5"/>
      <c r="B109" s="5"/>
      <c r="C109" s="149"/>
      <c r="D109" s="5"/>
      <c r="E109" s="5"/>
      <c r="F109" s="5"/>
      <c r="G109" s="5"/>
      <c r="I109" s="5"/>
    </row>
    <row r="110" spans="1:9" x14ac:dyDescent="0.25">
      <c r="A110" s="475" t="s">
        <v>86</v>
      </c>
      <c r="B110" s="475"/>
      <c r="C110" s="475"/>
      <c r="D110" s="475"/>
      <c r="E110" s="5"/>
      <c r="F110" s="5"/>
      <c r="G110" s="5"/>
      <c r="I110" s="5"/>
    </row>
    <row r="111" spans="1:9" x14ac:dyDescent="0.25">
      <c r="A111" s="5" t="s">
        <v>87</v>
      </c>
      <c r="B111" s="5"/>
      <c r="C111" s="147">
        <v>190100</v>
      </c>
      <c r="D111" s="5"/>
      <c r="E111" s="5"/>
      <c r="F111" s="5"/>
      <c r="G111" s="5"/>
      <c r="I111" s="5"/>
    </row>
    <row r="112" spans="1:9" x14ac:dyDescent="0.25">
      <c r="A112" s="5" t="s">
        <v>88</v>
      </c>
      <c r="B112" s="18" t="s">
        <v>83</v>
      </c>
      <c r="C112" s="154">
        <v>6.4999999999999997E-3</v>
      </c>
      <c r="D112" s="5"/>
      <c r="E112" s="5"/>
      <c r="F112" s="5"/>
      <c r="G112" s="5"/>
      <c r="H112" s="160"/>
      <c r="I112" s="5"/>
    </row>
    <row r="113" spans="1:9" ht="15.75" thickBot="1" x14ac:dyDescent="0.3">
      <c r="A113" s="5"/>
      <c r="B113" s="5"/>
      <c r="C113" s="151">
        <f>SUM(C111*C112)</f>
        <v>1235.6499999999999</v>
      </c>
      <c r="D113" s="5"/>
      <c r="E113" s="5" t="s">
        <v>89</v>
      </c>
      <c r="F113" s="152">
        <f>ROUND(C113,0)</f>
        <v>1236</v>
      </c>
      <c r="G113" s="5"/>
      <c r="H113" s="160"/>
      <c r="I113" s="5"/>
    </row>
    <row r="114" spans="1:9" ht="15.75" thickTop="1" x14ac:dyDescent="0.25">
      <c r="A114" s="5"/>
      <c r="B114" s="5"/>
      <c r="C114" s="151"/>
      <c r="D114" s="5"/>
      <c r="E114" s="5"/>
      <c r="F114" s="147"/>
      <c r="G114" s="5"/>
      <c r="H114" s="160"/>
      <c r="I114" s="5"/>
    </row>
    <row r="115" spans="1:9" ht="15.75" thickBot="1" x14ac:dyDescent="0.3">
      <c r="A115" s="5"/>
      <c r="B115" s="151" t="s">
        <v>100</v>
      </c>
      <c r="D115" s="5"/>
      <c r="E115" s="5" t="s">
        <v>89</v>
      </c>
      <c r="F115" s="152">
        <f>1236*7/12</f>
        <v>721</v>
      </c>
      <c r="G115" s="5"/>
      <c r="H115" s="160"/>
      <c r="I115" s="5"/>
    </row>
    <row r="116" spans="1:9" ht="15.75" thickTop="1" x14ac:dyDescent="0.25">
      <c r="A116" s="5"/>
      <c r="B116" s="5"/>
      <c r="C116" s="151"/>
      <c r="D116" s="5"/>
      <c r="E116" s="5"/>
      <c r="F116" s="147"/>
      <c r="G116" s="5"/>
      <c r="H116" s="160"/>
      <c r="I116" s="5"/>
    </row>
    <row r="117" spans="1:9" x14ac:dyDescent="0.25">
      <c r="A117" s="145" t="s">
        <v>20</v>
      </c>
      <c r="B117" s="145" t="s">
        <v>21</v>
      </c>
      <c r="C117" s="145"/>
      <c r="D117" s="145"/>
      <c r="E117" s="145"/>
      <c r="F117" s="145"/>
      <c r="G117" s="145"/>
      <c r="H117" s="145"/>
      <c r="I117" s="145"/>
    </row>
    <row r="118" spans="1:9" x14ac:dyDescent="0.25">
      <c r="A118" s="4" t="s">
        <v>1106</v>
      </c>
      <c r="B118" s="4"/>
      <c r="C118" s="161"/>
      <c r="D118" s="4"/>
      <c r="E118" s="4"/>
      <c r="F118" s="146"/>
      <c r="G118" s="146"/>
      <c r="H118" s="146"/>
      <c r="I118" s="146"/>
    </row>
    <row r="119" spans="1:9" x14ac:dyDescent="0.25">
      <c r="A119" s="4" t="s">
        <v>101</v>
      </c>
      <c r="B119" s="4"/>
      <c r="C119" s="161"/>
      <c r="D119" s="4"/>
      <c r="E119" s="4"/>
      <c r="F119" s="146"/>
      <c r="G119" s="146"/>
      <c r="H119" s="146"/>
      <c r="I119" s="146"/>
    </row>
    <row r="120" spans="1:9" x14ac:dyDescent="0.25">
      <c r="A120" s="4" t="s">
        <v>102</v>
      </c>
      <c r="B120" s="4"/>
      <c r="C120" s="161"/>
      <c r="D120" s="4"/>
      <c r="E120" s="4"/>
      <c r="F120" s="146"/>
      <c r="G120" s="146"/>
      <c r="H120" s="146"/>
      <c r="I120" s="146"/>
    </row>
    <row r="121" spans="1:9" x14ac:dyDescent="0.25">
      <c r="A121" s="4"/>
      <c r="B121" s="4"/>
      <c r="C121" s="161"/>
      <c r="D121" s="4"/>
      <c r="E121" s="4"/>
      <c r="F121" s="146"/>
      <c r="G121" s="146"/>
      <c r="H121" s="146"/>
      <c r="I121" s="146"/>
    </row>
    <row r="122" spans="1:9" x14ac:dyDescent="0.25">
      <c r="A122" s="477" t="s">
        <v>73</v>
      </c>
      <c r="B122" s="477"/>
      <c r="C122" s="477"/>
      <c r="D122" s="477"/>
      <c r="E122" s="4"/>
      <c r="F122" s="146"/>
      <c r="G122" s="162"/>
      <c r="H122" s="146"/>
      <c r="I122" s="146"/>
    </row>
    <row r="123" spans="1:9" x14ac:dyDescent="0.25">
      <c r="A123" s="146" t="s">
        <v>103</v>
      </c>
      <c r="B123" s="4"/>
      <c r="C123" s="163">
        <v>971</v>
      </c>
      <c r="D123" s="146"/>
      <c r="E123" s="146"/>
      <c r="F123" s="146"/>
      <c r="G123" s="162"/>
      <c r="H123" s="146"/>
      <c r="I123" s="146"/>
    </row>
    <row r="124" spans="1:9" x14ac:dyDescent="0.25">
      <c r="A124" s="146" t="s">
        <v>104</v>
      </c>
      <c r="B124" s="8" t="s">
        <v>96</v>
      </c>
      <c r="C124" s="164">
        <v>941</v>
      </c>
      <c r="D124" s="146"/>
      <c r="E124" s="146"/>
      <c r="F124" s="146"/>
      <c r="G124" s="162"/>
      <c r="H124" s="146"/>
      <c r="I124" s="146"/>
    </row>
    <row r="125" spans="1:9" x14ac:dyDescent="0.25">
      <c r="A125" s="146"/>
      <c r="B125" s="165"/>
      <c r="C125" s="163">
        <f>C123-C124</f>
        <v>30</v>
      </c>
      <c r="D125" s="146"/>
      <c r="E125" s="146"/>
      <c r="F125" s="146"/>
      <c r="G125" s="146"/>
      <c r="H125" s="146"/>
      <c r="I125" s="146"/>
    </row>
    <row r="126" spans="1:9" x14ac:dyDescent="0.25">
      <c r="A126" s="146"/>
      <c r="B126" s="165" t="s">
        <v>83</v>
      </c>
      <c r="C126" s="166">
        <v>1.695E-2</v>
      </c>
      <c r="D126" s="146"/>
      <c r="E126" s="146"/>
      <c r="F126" s="146"/>
      <c r="G126" s="146"/>
      <c r="H126" s="146"/>
      <c r="I126" s="146"/>
    </row>
    <row r="127" spans="1:9" ht="15.75" thickBot="1" x14ac:dyDescent="0.3">
      <c r="A127" s="146"/>
      <c r="B127" s="146"/>
      <c r="C127" s="162">
        <f>C125*C126</f>
        <v>0.50849999999999995</v>
      </c>
      <c r="D127" s="146"/>
      <c r="E127" t="s">
        <v>84</v>
      </c>
      <c r="F127" s="167">
        <f>ROUND(C127,)</f>
        <v>1</v>
      </c>
      <c r="H127" t="s">
        <v>85</v>
      </c>
      <c r="I127" s="168">
        <v>1</v>
      </c>
    </row>
    <row r="128" spans="1:9" ht="15.75" thickTop="1" x14ac:dyDescent="0.25">
      <c r="A128" s="5"/>
      <c r="B128" s="5"/>
      <c r="C128" s="147"/>
      <c r="D128" s="5"/>
      <c r="E128" s="5"/>
      <c r="F128" s="5"/>
      <c r="G128" s="149"/>
      <c r="H128" s="5"/>
      <c r="I128" s="5"/>
    </row>
    <row r="129" spans="1:9" x14ac:dyDescent="0.25">
      <c r="A129" s="145" t="s">
        <v>22</v>
      </c>
      <c r="B129" s="145" t="s">
        <v>23</v>
      </c>
      <c r="C129" s="145"/>
      <c r="D129" s="145"/>
      <c r="E129" s="145"/>
      <c r="F129" s="145"/>
      <c r="G129" s="145"/>
      <c r="H129" s="145"/>
      <c r="I129" s="145"/>
    </row>
    <row r="130" spans="1:9" x14ac:dyDescent="0.25">
      <c r="A130" s="4" t="s">
        <v>1100</v>
      </c>
      <c r="B130" s="4"/>
      <c r="C130" s="4"/>
      <c r="D130" s="146"/>
      <c r="E130" s="146"/>
      <c r="F130" s="146"/>
      <c r="G130" s="146"/>
      <c r="H130" s="160"/>
      <c r="I130" s="160"/>
    </row>
    <row r="131" spans="1:9" x14ac:dyDescent="0.25">
      <c r="A131" s="4" t="s">
        <v>105</v>
      </c>
      <c r="B131" s="4"/>
      <c r="C131" s="4"/>
      <c r="D131" s="146"/>
      <c r="E131" s="146"/>
      <c r="F131" s="146"/>
      <c r="G131" s="146"/>
      <c r="H131" s="146"/>
      <c r="I131" s="146"/>
    </row>
    <row r="132" spans="1:9" x14ac:dyDescent="0.25">
      <c r="A132" s="4" t="s">
        <v>1107</v>
      </c>
      <c r="B132" s="4"/>
      <c r="C132" s="4"/>
      <c r="D132" s="146"/>
      <c r="E132" s="146"/>
      <c r="F132" s="146"/>
      <c r="G132" s="146"/>
      <c r="H132" s="146"/>
      <c r="I132" s="146"/>
    </row>
    <row r="133" spans="1:9" x14ac:dyDescent="0.25">
      <c r="A133" s="4" t="s">
        <v>106</v>
      </c>
      <c r="B133" s="4"/>
      <c r="C133" s="4"/>
      <c r="D133" s="146"/>
      <c r="E133" s="146"/>
      <c r="F133" s="146"/>
      <c r="G133" s="146"/>
      <c r="H133" s="146"/>
      <c r="I133" s="146"/>
    </row>
    <row r="134" spans="1:9" x14ac:dyDescent="0.25">
      <c r="A134" s="4" t="s">
        <v>107</v>
      </c>
      <c r="B134" s="4"/>
      <c r="C134" s="4"/>
      <c r="D134" s="146"/>
      <c r="E134" s="146"/>
      <c r="F134" s="146"/>
      <c r="G134" s="146"/>
      <c r="H134" s="146"/>
      <c r="I134" s="146"/>
    </row>
    <row r="135" spans="1:9" x14ac:dyDescent="0.25">
      <c r="A135" s="4" t="s">
        <v>72</v>
      </c>
      <c r="B135" s="4"/>
      <c r="C135" s="4"/>
      <c r="D135" s="146"/>
      <c r="E135" s="146"/>
      <c r="F135" s="146"/>
      <c r="G135" s="146"/>
      <c r="H135" s="146"/>
      <c r="I135" s="146"/>
    </row>
    <row r="136" spans="1:9" x14ac:dyDescent="0.25">
      <c r="A136" s="146"/>
      <c r="B136" s="146"/>
      <c r="C136" s="146"/>
      <c r="D136" s="146"/>
      <c r="E136" s="146"/>
      <c r="F136" s="146"/>
      <c r="G136" s="146"/>
      <c r="H136" s="146"/>
      <c r="I136" s="146"/>
    </row>
    <row r="137" spans="1:9" x14ac:dyDescent="0.25">
      <c r="A137" s="477" t="s">
        <v>73</v>
      </c>
      <c r="B137" s="477"/>
      <c r="C137" s="477"/>
      <c r="D137" s="477"/>
      <c r="E137" s="146"/>
      <c r="F137" s="146"/>
      <c r="G137" s="146"/>
      <c r="H137" s="146"/>
      <c r="I137" s="146"/>
    </row>
    <row r="138" spans="1:9" x14ac:dyDescent="0.25">
      <c r="A138" s="146" t="s">
        <v>74</v>
      </c>
      <c r="B138" s="146"/>
      <c r="C138" s="169">
        <v>118</v>
      </c>
      <c r="D138" s="146"/>
      <c r="E138" s="146"/>
      <c r="F138" s="146"/>
      <c r="G138" s="146"/>
      <c r="H138" s="160"/>
      <c r="I138" s="160"/>
    </row>
    <row r="139" spans="1:9" x14ac:dyDescent="0.25">
      <c r="A139" s="146" t="s">
        <v>75</v>
      </c>
      <c r="B139" s="146"/>
      <c r="C139" s="169">
        <v>122</v>
      </c>
      <c r="D139" s="146"/>
      <c r="E139" s="146"/>
      <c r="F139" s="146"/>
      <c r="G139" s="146"/>
      <c r="H139" s="160"/>
      <c r="I139" s="160"/>
    </row>
    <row r="140" spans="1:9" x14ac:dyDescent="0.25">
      <c r="A140" s="146" t="s">
        <v>76</v>
      </c>
      <c r="B140" s="146"/>
      <c r="C140" s="169">
        <v>815</v>
      </c>
      <c r="D140" s="146"/>
      <c r="E140" s="146"/>
      <c r="F140" s="146"/>
      <c r="G140" s="146"/>
      <c r="H140" s="160"/>
      <c r="I140" s="160"/>
    </row>
    <row r="141" spans="1:9" x14ac:dyDescent="0.25">
      <c r="A141" s="146" t="s">
        <v>78</v>
      </c>
      <c r="B141" s="165" t="s">
        <v>79</v>
      </c>
      <c r="C141" s="170">
        <f>C149</f>
        <v>2334.15</v>
      </c>
      <c r="D141" s="146"/>
      <c r="E141" s="146" t="s">
        <v>108</v>
      </c>
      <c r="F141" s="146"/>
      <c r="G141" s="146"/>
      <c r="H141" s="146"/>
      <c r="I141" s="146"/>
    </row>
    <row r="142" spans="1:9" x14ac:dyDescent="0.25">
      <c r="A142" s="165" t="s">
        <v>81</v>
      </c>
      <c r="B142" s="146"/>
      <c r="C142" s="169">
        <f>SUM(C138:C141)</f>
        <v>3389.15</v>
      </c>
      <c r="D142" s="146"/>
      <c r="E142" s="146"/>
      <c r="F142" s="146"/>
      <c r="G142" s="146"/>
      <c r="H142" s="146"/>
      <c r="I142" s="146"/>
    </row>
    <row r="143" spans="1:9" x14ac:dyDescent="0.25">
      <c r="A143" s="165" t="s">
        <v>82</v>
      </c>
      <c r="B143" s="165" t="s">
        <v>83</v>
      </c>
      <c r="C143" s="166">
        <v>1.695E-2</v>
      </c>
      <c r="D143" s="146"/>
      <c r="E143" s="146"/>
      <c r="F143" s="146"/>
      <c r="G143" s="146"/>
      <c r="H143" s="146"/>
      <c r="I143" s="146"/>
    </row>
    <row r="144" spans="1:9" ht="15.75" thickBot="1" x14ac:dyDescent="0.3">
      <c r="A144" s="146"/>
      <c r="B144" s="146"/>
      <c r="C144" s="156">
        <f>C142*C143</f>
        <v>57.446092499999999</v>
      </c>
      <c r="D144" s="146"/>
      <c r="E144" t="s">
        <v>84</v>
      </c>
      <c r="F144" s="156">
        <f>ROUND(C144,0)</f>
        <v>57</v>
      </c>
      <c r="H144" s="146" t="s">
        <v>85</v>
      </c>
      <c r="I144" s="168">
        <f>F144</f>
        <v>57</v>
      </c>
    </row>
    <row r="145" spans="1:9" ht="15.75" thickTop="1" x14ac:dyDescent="0.25">
      <c r="A145" s="146"/>
      <c r="B145" s="146"/>
      <c r="C145" s="156"/>
      <c r="D145" s="146"/>
      <c r="E145" s="146"/>
      <c r="F145" s="146"/>
      <c r="G145" s="146"/>
      <c r="H145" s="146"/>
      <c r="I145" s="146"/>
    </row>
    <row r="146" spans="1:9" x14ac:dyDescent="0.25">
      <c r="A146" s="477" t="s">
        <v>86</v>
      </c>
      <c r="B146" s="477"/>
      <c r="C146" s="477"/>
      <c r="D146" s="477"/>
      <c r="E146" s="171"/>
      <c r="F146" s="146"/>
      <c r="G146" s="146"/>
      <c r="H146" s="146"/>
      <c r="I146" s="146"/>
    </row>
    <row r="147" spans="1:9" x14ac:dyDescent="0.25">
      <c r="A147" s="146" t="s">
        <v>87</v>
      </c>
      <c r="B147" s="146"/>
      <c r="C147" s="169">
        <v>359100</v>
      </c>
      <c r="D147" s="146"/>
      <c r="E147" s="146"/>
      <c r="F147" s="146"/>
      <c r="G147" s="146"/>
      <c r="H147" s="146"/>
      <c r="I147" s="146"/>
    </row>
    <row r="148" spans="1:9" x14ac:dyDescent="0.25">
      <c r="A148" s="146" t="s">
        <v>88</v>
      </c>
      <c r="B148" s="165" t="s">
        <v>83</v>
      </c>
      <c r="C148" s="172">
        <v>6.4999999999999997E-3</v>
      </c>
      <c r="D148" s="146"/>
      <c r="E148" s="146"/>
      <c r="F148" s="146"/>
      <c r="G148" s="146"/>
      <c r="H148" s="146"/>
      <c r="I148" s="146"/>
    </row>
    <row r="149" spans="1:9" x14ac:dyDescent="0.25">
      <c r="A149" s="146"/>
      <c r="B149" s="146"/>
      <c r="C149" s="156">
        <f>C147*C148</f>
        <v>2334.15</v>
      </c>
      <c r="D149" s="146"/>
      <c r="E149" t="s">
        <v>89</v>
      </c>
      <c r="F149" s="156">
        <f>ROUND(C149,0)</f>
        <v>2334</v>
      </c>
      <c r="G149" s="163"/>
      <c r="H149" s="146"/>
      <c r="I149" s="146"/>
    </row>
  </sheetData>
  <mergeCells count="14">
    <mergeCell ref="A146:D146"/>
    <mergeCell ref="A137:D137"/>
    <mergeCell ref="A122:D122"/>
    <mergeCell ref="A110:D110"/>
    <mergeCell ref="A100:D100"/>
    <mergeCell ref="A34:D34"/>
    <mergeCell ref="A24:D24"/>
    <mergeCell ref="A1:I1"/>
    <mergeCell ref="A2:I5"/>
    <mergeCell ref="A87:D87"/>
    <mergeCell ref="A80:D80"/>
    <mergeCell ref="A70:D70"/>
    <mergeCell ref="A57:D57"/>
    <mergeCell ref="A47:D4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AC361-2D70-41E1-96B6-9E450351DCAE}">
  <dimension ref="A1:P104"/>
  <sheetViews>
    <sheetView workbookViewId="0">
      <selection sqref="A1:XFD1048576"/>
    </sheetView>
  </sheetViews>
  <sheetFormatPr defaultColWidth="9.140625" defaultRowHeight="15" x14ac:dyDescent="0.25"/>
  <cols>
    <col min="1" max="16384" width="9.140625" style="84"/>
  </cols>
  <sheetData>
    <row r="1" spans="1:13" ht="21" x14ac:dyDescent="0.35">
      <c r="A1" s="478" t="s">
        <v>1108</v>
      </c>
      <c r="B1" s="478"/>
      <c r="C1" s="478"/>
      <c r="D1" s="478"/>
      <c r="E1" s="478"/>
      <c r="F1" s="478"/>
      <c r="G1" s="478"/>
      <c r="H1" s="478"/>
      <c r="I1" s="478"/>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9" x14ac:dyDescent="0.25">
      <c r="A17" s="84" t="s">
        <v>10</v>
      </c>
      <c r="B17" s="84" t="s">
        <v>11</v>
      </c>
    </row>
    <row r="18" spans="1:9" x14ac:dyDescent="0.25">
      <c r="B18" s="456" t="s">
        <v>1109</v>
      </c>
      <c r="C18" s="456"/>
      <c r="D18" s="456"/>
    </row>
    <row r="19" spans="1:9" x14ac:dyDescent="0.25">
      <c r="B19" s="173"/>
      <c r="C19" s="173"/>
      <c r="D19" s="173"/>
    </row>
    <row r="20" spans="1:9" x14ac:dyDescent="0.25">
      <c r="B20" s="86" t="s">
        <v>1110</v>
      </c>
      <c r="C20" s="86"/>
      <c r="D20" s="86"/>
    </row>
    <row r="21" spans="1:9" x14ac:dyDescent="0.25">
      <c r="B21" s="460" t="s">
        <v>1111</v>
      </c>
      <c r="C21" s="460"/>
      <c r="D21" s="460"/>
      <c r="E21" s="456" t="s">
        <v>1112</v>
      </c>
      <c r="F21" s="456"/>
      <c r="G21" s="456"/>
      <c r="H21" s="456"/>
      <c r="I21" s="456"/>
    </row>
    <row r="22" spans="1:9" x14ac:dyDescent="0.25">
      <c r="B22" s="460" t="s">
        <v>1113</v>
      </c>
      <c r="C22" s="460"/>
      <c r="D22" s="460"/>
      <c r="E22" s="456" t="s">
        <v>1114</v>
      </c>
      <c r="F22" s="456"/>
      <c r="G22" s="456"/>
      <c r="H22" s="456"/>
      <c r="I22" s="456"/>
    </row>
    <row r="23" spans="1:9" x14ac:dyDescent="0.25">
      <c r="B23" s="86" t="s">
        <v>1115</v>
      </c>
      <c r="C23" s="86"/>
      <c r="D23" s="86"/>
      <c r="E23" s="84" t="s">
        <v>1116</v>
      </c>
    </row>
    <row r="24" spans="1:9" x14ac:dyDescent="0.25">
      <c r="B24" s="460" t="s">
        <v>1117</v>
      </c>
      <c r="C24" s="460"/>
      <c r="D24" s="460"/>
      <c r="E24" s="84" t="s">
        <v>1118</v>
      </c>
    </row>
    <row r="25" spans="1:9" x14ac:dyDescent="0.25">
      <c r="B25" s="460" t="s">
        <v>1119</v>
      </c>
      <c r="C25" s="460"/>
      <c r="D25" s="460"/>
      <c r="E25" s="84" t="s">
        <v>1120</v>
      </c>
    </row>
    <row r="28" spans="1:9" x14ac:dyDescent="0.25">
      <c r="A28" s="84" t="s">
        <v>12</v>
      </c>
      <c r="B28" s="84" t="s">
        <v>13</v>
      </c>
    </row>
    <row r="29" spans="1:9" x14ac:dyDescent="0.25">
      <c r="B29" s="456" t="s">
        <v>1109</v>
      </c>
      <c r="C29" s="456"/>
      <c r="D29" s="456"/>
    </row>
    <row r="31" spans="1:9" x14ac:dyDescent="0.25">
      <c r="B31" s="86" t="s">
        <v>1110</v>
      </c>
      <c r="C31" s="86"/>
      <c r="D31" s="86"/>
    </row>
    <row r="32" spans="1:9" x14ac:dyDescent="0.25">
      <c r="B32" s="460" t="s">
        <v>1111</v>
      </c>
      <c r="C32" s="460"/>
      <c r="D32" s="460"/>
      <c r="E32" s="456" t="s">
        <v>1112</v>
      </c>
      <c r="F32" s="456"/>
      <c r="G32" s="456"/>
      <c r="H32" s="456"/>
      <c r="I32" s="456"/>
    </row>
    <row r="33" spans="1:11" x14ac:dyDescent="0.25">
      <c r="B33" s="460" t="s">
        <v>1113</v>
      </c>
      <c r="C33" s="460"/>
      <c r="D33" s="460"/>
      <c r="E33" s="456" t="s">
        <v>1114</v>
      </c>
      <c r="F33" s="456"/>
      <c r="G33" s="456"/>
      <c r="H33" s="456"/>
      <c r="I33" s="456"/>
    </row>
    <row r="34" spans="1:11" x14ac:dyDescent="0.25">
      <c r="B34" s="86" t="s">
        <v>1115</v>
      </c>
      <c r="C34" s="86"/>
      <c r="D34" s="86"/>
      <c r="E34" s="84" t="s">
        <v>1116</v>
      </c>
    </row>
    <row r="35" spans="1:11" x14ac:dyDescent="0.25">
      <c r="B35" s="460" t="s">
        <v>1121</v>
      </c>
      <c r="C35" s="460"/>
      <c r="D35" s="460"/>
      <c r="E35" s="84" t="s">
        <v>1122</v>
      </c>
    </row>
    <row r="36" spans="1:11" x14ac:dyDescent="0.25">
      <c r="B36" s="460" t="s">
        <v>1119</v>
      </c>
      <c r="C36" s="460"/>
      <c r="D36" s="460"/>
      <c r="E36" s="84" t="s">
        <v>1120</v>
      </c>
    </row>
    <row r="39" spans="1:11" x14ac:dyDescent="0.25">
      <c r="A39" s="84" t="s">
        <v>15</v>
      </c>
      <c r="B39" s="84" t="s">
        <v>16</v>
      </c>
    </row>
    <row r="40" spans="1:11" x14ac:dyDescent="0.25">
      <c r="B40" s="456" t="s">
        <v>1123</v>
      </c>
      <c r="C40" s="456"/>
      <c r="D40" s="456"/>
      <c r="E40" s="456"/>
      <c r="F40" s="456"/>
      <c r="G40" s="456"/>
      <c r="H40" s="456"/>
      <c r="I40" s="456"/>
    </row>
    <row r="42" spans="1:11" x14ac:dyDescent="0.25">
      <c r="B42" s="456" t="s">
        <v>1124</v>
      </c>
      <c r="C42" s="456"/>
      <c r="D42" s="456"/>
      <c r="E42" s="456"/>
    </row>
    <row r="44" spans="1:11" x14ac:dyDescent="0.25">
      <c r="B44" s="460" t="s">
        <v>1111</v>
      </c>
      <c r="C44" s="460"/>
      <c r="D44" s="460"/>
      <c r="E44" s="173">
        <v>0.13</v>
      </c>
      <c r="F44" s="173"/>
      <c r="G44" s="173"/>
      <c r="H44" s="173"/>
      <c r="I44" s="173"/>
      <c r="J44" s="173"/>
      <c r="K44" s="173"/>
    </row>
    <row r="45" spans="1:11" x14ac:dyDescent="0.25">
      <c r="B45" s="460" t="s">
        <v>1113</v>
      </c>
      <c r="C45" s="460"/>
      <c r="D45" s="460"/>
      <c r="E45" s="175">
        <v>0</v>
      </c>
      <c r="F45" s="173"/>
      <c r="G45" s="173"/>
      <c r="H45" s="173"/>
      <c r="I45" s="173"/>
      <c r="J45" s="173"/>
      <c r="K45" s="173"/>
    </row>
    <row r="46" spans="1:11" x14ac:dyDescent="0.25">
      <c r="B46" s="86" t="s">
        <v>1115</v>
      </c>
      <c r="C46" s="86"/>
      <c r="D46" s="86"/>
      <c r="E46" s="173">
        <v>7.17</v>
      </c>
      <c r="J46" s="173"/>
      <c r="K46" s="173"/>
    </row>
    <row r="47" spans="1:11" x14ac:dyDescent="0.25">
      <c r="B47" s="460" t="s">
        <v>1121</v>
      </c>
      <c r="C47" s="460"/>
      <c r="D47" s="460"/>
      <c r="E47" s="173">
        <v>29.87</v>
      </c>
    </row>
    <row r="48" spans="1:11" x14ac:dyDescent="0.25">
      <c r="B48" s="460" t="s">
        <v>1119</v>
      </c>
      <c r="C48" s="460"/>
      <c r="D48" s="460"/>
      <c r="E48" s="175">
        <v>0</v>
      </c>
      <c r="F48" s="173"/>
      <c r="G48" s="173"/>
      <c r="H48" s="173"/>
      <c r="I48" s="173"/>
      <c r="J48" s="173"/>
      <c r="K48" s="173"/>
    </row>
    <row r="50" spans="1:13" x14ac:dyDescent="0.25">
      <c r="B50" s="84" t="s">
        <v>1125</v>
      </c>
    </row>
    <row r="51" spans="1:13" x14ac:dyDescent="0.25">
      <c r="B51" s="460" t="s">
        <v>1111</v>
      </c>
      <c r="C51" s="460"/>
      <c r="D51" s="460"/>
      <c r="E51" s="84">
        <v>0.13</v>
      </c>
    </row>
    <row r="52" spans="1:13" x14ac:dyDescent="0.25">
      <c r="B52" s="460" t="s">
        <v>1113</v>
      </c>
      <c r="C52" s="460"/>
      <c r="D52" s="460"/>
      <c r="E52" s="84">
        <v>0.54</v>
      </c>
    </row>
    <row r="53" spans="1:13" x14ac:dyDescent="0.25">
      <c r="B53" s="86" t="s">
        <v>1115</v>
      </c>
      <c r="C53" s="86"/>
      <c r="D53" s="86"/>
      <c r="E53" s="84">
        <v>15.83</v>
      </c>
    </row>
    <row r="54" spans="1:13" x14ac:dyDescent="0.25">
      <c r="B54" s="460" t="s">
        <v>1121</v>
      </c>
      <c r="C54" s="460"/>
      <c r="D54" s="460"/>
      <c r="E54" s="84">
        <v>3.33</v>
      </c>
    </row>
    <row r="55" spans="1:13" x14ac:dyDescent="0.25">
      <c r="B55" s="460" t="s">
        <v>1119</v>
      </c>
      <c r="C55" s="460"/>
      <c r="D55" s="460"/>
      <c r="E55" s="84">
        <v>0.66</v>
      </c>
    </row>
    <row r="59" spans="1:13" x14ac:dyDescent="0.25">
      <c r="A59" s="84" t="s">
        <v>17</v>
      </c>
      <c r="B59" s="84" t="s">
        <v>18</v>
      </c>
    </row>
    <row r="60" spans="1:13" x14ac:dyDescent="0.25">
      <c r="B60" s="84" t="s">
        <v>1126</v>
      </c>
    </row>
    <row r="62" spans="1:13" x14ac:dyDescent="0.25">
      <c r="B62" s="86" t="s">
        <v>1127</v>
      </c>
      <c r="C62" s="86"/>
      <c r="D62" s="86"/>
      <c r="K62" s="86"/>
      <c r="L62" s="86"/>
      <c r="M62" s="86"/>
    </row>
    <row r="63" spans="1:13" x14ac:dyDescent="0.25">
      <c r="B63" s="460" t="s">
        <v>1111</v>
      </c>
      <c r="C63" s="460"/>
      <c r="D63" s="460"/>
      <c r="E63" s="173" t="s">
        <v>1128</v>
      </c>
      <c r="F63" s="173"/>
      <c r="G63" s="173"/>
      <c r="H63" s="173"/>
      <c r="I63" s="173"/>
      <c r="J63" s="173"/>
      <c r="K63" s="86"/>
      <c r="L63" s="86"/>
      <c r="M63" s="86"/>
    </row>
    <row r="64" spans="1:13" x14ac:dyDescent="0.25">
      <c r="B64" s="460" t="s">
        <v>1113</v>
      </c>
      <c r="C64" s="460"/>
      <c r="D64" s="460"/>
      <c r="E64" s="456" t="s">
        <v>1114</v>
      </c>
      <c r="F64" s="456"/>
      <c r="G64" s="456"/>
      <c r="H64" s="456"/>
      <c r="I64" s="456"/>
      <c r="K64" s="86"/>
      <c r="L64" s="86"/>
      <c r="M64" s="86"/>
    </row>
    <row r="65" spans="1:16" x14ac:dyDescent="0.25">
      <c r="B65" s="86" t="s">
        <v>1115</v>
      </c>
      <c r="C65" s="86"/>
      <c r="D65" s="86"/>
      <c r="E65" s="456" t="s">
        <v>1129</v>
      </c>
      <c r="F65" s="456"/>
      <c r="G65" s="456"/>
      <c r="H65" s="456"/>
      <c r="I65" s="456"/>
      <c r="J65" s="456"/>
      <c r="K65" s="456"/>
      <c r="L65" s="456"/>
    </row>
    <row r="66" spans="1:16" x14ac:dyDescent="0.25">
      <c r="B66" s="460" t="s">
        <v>1121</v>
      </c>
      <c r="C66" s="460"/>
      <c r="D66" s="460"/>
      <c r="E66" s="84" t="s">
        <v>1130</v>
      </c>
    </row>
    <row r="67" spans="1:16" x14ac:dyDescent="0.25">
      <c r="B67" s="460" t="s">
        <v>1119</v>
      </c>
      <c r="C67" s="460"/>
      <c r="D67" s="460"/>
      <c r="E67" s="84" t="s">
        <v>1120</v>
      </c>
    </row>
    <row r="70" spans="1:16" x14ac:dyDescent="0.25">
      <c r="A70" s="84" t="s">
        <v>20</v>
      </c>
      <c r="B70" s="84" t="s">
        <v>21</v>
      </c>
    </row>
    <row r="71" spans="1:16" x14ac:dyDescent="0.25">
      <c r="B71" s="456" t="s">
        <v>1131</v>
      </c>
      <c r="C71" s="456"/>
      <c r="D71" s="456"/>
      <c r="E71" s="456"/>
      <c r="F71" s="456"/>
      <c r="G71" s="456"/>
      <c r="H71" s="456"/>
      <c r="I71" s="456"/>
      <c r="J71" s="456"/>
      <c r="K71" s="456"/>
      <c r="L71" s="456"/>
      <c r="M71" s="456"/>
      <c r="N71" s="456"/>
      <c r="O71" s="456"/>
      <c r="P71" s="456"/>
    </row>
    <row r="73" spans="1:16" x14ac:dyDescent="0.25">
      <c r="B73" s="84" t="s">
        <v>1132</v>
      </c>
    </row>
    <row r="74" spans="1:16" x14ac:dyDescent="0.25">
      <c r="B74" s="460" t="s">
        <v>1111</v>
      </c>
      <c r="C74" s="460"/>
      <c r="D74" s="460"/>
      <c r="E74" s="175">
        <v>0</v>
      </c>
      <c r="F74" s="173"/>
      <c r="G74" s="173"/>
      <c r="H74" s="173"/>
      <c r="I74" s="173"/>
      <c r="J74" s="173"/>
      <c r="K74" s="86"/>
      <c r="L74" s="86"/>
    </row>
    <row r="75" spans="1:16" x14ac:dyDescent="0.25">
      <c r="B75" s="460" t="s">
        <v>1113</v>
      </c>
      <c r="C75" s="460"/>
      <c r="D75" s="460"/>
      <c r="E75" s="479">
        <v>0</v>
      </c>
      <c r="F75" s="456"/>
      <c r="G75" s="456"/>
      <c r="H75" s="456"/>
      <c r="I75" s="456"/>
      <c r="K75" s="86"/>
      <c r="L75" s="86"/>
    </row>
    <row r="76" spans="1:16" x14ac:dyDescent="0.25">
      <c r="B76" s="86" t="s">
        <v>1115</v>
      </c>
      <c r="C76" s="86"/>
      <c r="D76" s="86"/>
      <c r="E76" s="479">
        <v>0</v>
      </c>
      <c r="F76" s="456"/>
      <c r="G76" s="456"/>
      <c r="H76" s="456"/>
      <c r="I76" s="456"/>
      <c r="J76" s="456"/>
      <c r="K76" s="456"/>
      <c r="L76" s="456"/>
    </row>
    <row r="77" spans="1:16" x14ac:dyDescent="0.25">
      <c r="B77" s="460" t="s">
        <v>1121</v>
      </c>
      <c r="C77" s="460"/>
      <c r="D77" s="460"/>
      <c r="E77" s="456" t="s">
        <v>1133</v>
      </c>
      <c r="F77" s="456"/>
      <c r="G77" s="456"/>
    </row>
    <row r="78" spans="1:16" x14ac:dyDescent="0.25">
      <c r="B78" s="460" t="s">
        <v>1119</v>
      </c>
      <c r="C78" s="460"/>
      <c r="D78" s="460"/>
      <c r="E78" s="175">
        <v>0</v>
      </c>
    </row>
    <row r="80" spans="1:16" x14ac:dyDescent="0.25">
      <c r="B80" s="84" t="s">
        <v>1134</v>
      </c>
    </row>
    <row r="81" spans="1:13" x14ac:dyDescent="0.25">
      <c r="B81" s="460" t="s">
        <v>1111</v>
      </c>
      <c r="C81" s="460"/>
      <c r="D81" s="460"/>
      <c r="E81" s="175">
        <v>0</v>
      </c>
      <c r="F81" s="173"/>
      <c r="G81" s="173"/>
      <c r="H81" s="173"/>
      <c r="I81" s="173"/>
      <c r="J81" s="173"/>
      <c r="K81" s="86"/>
      <c r="L81" s="86"/>
    </row>
    <row r="82" spans="1:13" x14ac:dyDescent="0.25">
      <c r="B82" s="460" t="s">
        <v>1113</v>
      </c>
      <c r="C82" s="460"/>
      <c r="D82" s="460"/>
      <c r="E82" s="479">
        <v>0</v>
      </c>
      <c r="F82" s="456"/>
      <c r="G82" s="456"/>
      <c r="H82" s="456"/>
      <c r="I82" s="456"/>
      <c r="K82" s="86"/>
      <c r="L82" s="86"/>
    </row>
    <row r="83" spans="1:13" x14ac:dyDescent="0.25">
      <c r="B83" s="86" t="s">
        <v>1115</v>
      </c>
      <c r="C83" s="86"/>
      <c r="D83" s="86"/>
      <c r="E83" s="479">
        <v>0</v>
      </c>
      <c r="F83" s="456"/>
      <c r="G83" s="456"/>
      <c r="H83" s="456"/>
      <c r="I83" s="456"/>
      <c r="J83" s="456"/>
      <c r="K83" s="456"/>
      <c r="L83" s="456"/>
    </row>
    <row r="84" spans="1:13" x14ac:dyDescent="0.25">
      <c r="B84" s="460" t="s">
        <v>1121</v>
      </c>
      <c r="C84" s="460"/>
      <c r="D84" s="460"/>
      <c r="E84" s="173" t="s">
        <v>1135</v>
      </c>
      <c r="F84" s="173"/>
      <c r="G84" s="173"/>
      <c r="H84" s="173"/>
      <c r="I84" s="173"/>
      <c r="J84" s="173"/>
    </row>
    <row r="85" spans="1:13" x14ac:dyDescent="0.25">
      <c r="B85" s="460" t="s">
        <v>1119</v>
      </c>
      <c r="C85" s="460"/>
      <c r="D85" s="460"/>
      <c r="E85" s="175">
        <v>0</v>
      </c>
    </row>
    <row r="86" spans="1:13" x14ac:dyDescent="0.25">
      <c r="B86" s="174"/>
      <c r="C86" s="174"/>
      <c r="D86" s="174"/>
      <c r="E86" s="175"/>
    </row>
    <row r="87" spans="1:13" x14ac:dyDescent="0.25">
      <c r="B87" s="460" t="s">
        <v>1136</v>
      </c>
      <c r="C87" s="460"/>
      <c r="D87" s="460"/>
      <c r="E87" s="460"/>
    </row>
    <row r="88" spans="1:13" x14ac:dyDescent="0.25">
      <c r="B88" s="86"/>
      <c r="C88" s="86"/>
      <c r="D88" s="86"/>
      <c r="E88" s="86"/>
      <c r="F88" s="86"/>
      <c r="G88" s="86"/>
      <c r="H88" s="86"/>
      <c r="I88" s="86"/>
      <c r="J88" s="86"/>
      <c r="K88" s="86"/>
      <c r="L88" s="86"/>
      <c r="M88" s="86"/>
    </row>
    <row r="89" spans="1:13" x14ac:dyDescent="0.25">
      <c r="B89" s="86"/>
      <c r="C89" s="86"/>
      <c r="D89" s="86"/>
      <c r="E89" s="86"/>
      <c r="F89" s="86"/>
      <c r="G89" s="86"/>
      <c r="H89" s="86"/>
      <c r="I89" s="86"/>
      <c r="J89" s="86"/>
      <c r="K89" s="86"/>
      <c r="L89" s="86"/>
      <c r="M89" s="86"/>
    </row>
    <row r="90" spans="1:13" x14ac:dyDescent="0.25">
      <c r="A90" s="84" t="s">
        <v>22</v>
      </c>
      <c r="B90" s="84" t="s">
        <v>23</v>
      </c>
    </row>
    <row r="91" spans="1:13" ht="40.5" customHeight="1" x14ac:dyDescent="0.25">
      <c r="B91" s="459" t="s">
        <v>24</v>
      </c>
      <c r="C91" s="459"/>
      <c r="D91" s="459"/>
      <c r="E91" s="459"/>
      <c r="F91" s="459"/>
      <c r="G91" s="459"/>
      <c r="H91" s="459"/>
      <c r="I91" s="459"/>
      <c r="J91" s="459"/>
      <c r="K91" s="459"/>
      <c r="L91" s="86"/>
      <c r="M91" s="86"/>
    </row>
    <row r="92" spans="1:13" x14ac:dyDescent="0.25">
      <c r="B92" s="88"/>
      <c r="C92" s="88"/>
      <c r="D92" s="88"/>
      <c r="E92" s="88"/>
      <c r="F92" s="88"/>
      <c r="G92" s="88"/>
      <c r="H92" s="88"/>
      <c r="I92" s="88"/>
      <c r="J92" s="88"/>
      <c r="K92" s="88"/>
      <c r="L92" s="86"/>
      <c r="M92" s="86"/>
    </row>
    <row r="93" spans="1:13" x14ac:dyDescent="0.25">
      <c r="B93" s="480" t="s">
        <v>1137</v>
      </c>
      <c r="C93" s="480"/>
      <c r="D93" s="480"/>
      <c r="E93" s="480" t="s">
        <v>1138</v>
      </c>
      <c r="F93" s="480"/>
      <c r="G93" s="480"/>
      <c r="H93" s="88"/>
      <c r="I93" s="88"/>
      <c r="J93" s="88"/>
      <c r="K93" s="88"/>
      <c r="L93" s="86"/>
      <c r="M93" s="86"/>
    </row>
    <row r="94" spans="1:13" x14ac:dyDescent="0.25">
      <c r="B94" s="460" t="s">
        <v>1111</v>
      </c>
      <c r="C94" s="460"/>
      <c r="D94" s="460"/>
      <c r="E94" s="456" t="s">
        <v>1139</v>
      </c>
      <c r="F94" s="456"/>
      <c r="G94" s="456"/>
      <c r="H94" s="456"/>
      <c r="I94" s="456"/>
      <c r="K94" s="86"/>
      <c r="L94" s="86"/>
    </row>
    <row r="95" spans="1:13" x14ac:dyDescent="0.25">
      <c r="B95" s="460" t="s">
        <v>1140</v>
      </c>
      <c r="C95" s="460"/>
      <c r="D95" s="460"/>
      <c r="E95" s="456" t="s">
        <v>1141</v>
      </c>
      <c r="F95" s="456"/>
      <c r="G95" s="456"/>
      <c r="H95" s="456"/>
      <c r="I95" s="456"/>
      <c r="K95" s="86"/>
      <c r="L95" s="86"/>
    </row>
    <row r="96" spans="1:13" x14ac:dyDescent="0.25">
      <c r="B96" s="460" t="s">
        <v>1142</v>
      </c>
      <c r="C96" s="460"/>
      <c r="D96" s="460"/>
      <c r="E96" s="456" t="s">
        <v>1143</v>
      </c>
      <c r="F96" s="456"/>
      <c r="G96" s="456"/>
      <c r="H96" s="456"/>
      <c r="I96" s="456"/>
      <c r="J96" s="456"/>
      <c r="K96" s="456"/>
      <c r="L96" s="456"/>
      <c r="M96" s="456"/>
    </row>
    <row r="97" spans="2:13" x14ac:dyDescent="0.25">
      <c r="B97" s="460" t="s">
        <v>1144</v>
      </c>
      <c r="C97" s="460"/>
      <c r="D97" s="460"/>
      <c r="E97" s="456" t="s">
        <v>1145</v>
      </c>
      <c r="F97" s="456"/>
      <c r="G97" s="456"/>
      <c r="H97" s="173"/>
      <c r="I97" s="173"/>
      <c r="K97" s="86"/>
      <c r="L97" s="86"/>
    </row>
    <row r="98" spans="2:13" x14ac:dyDescent="0.25">
      <c r="B98" s="460" t="s">
        <v>1115</v>
      </c>
      <c r="C98" s="460"/>
      <c r="D98" s="460"/>
      <c r="E98" s="456" t="s">
        <v>1146</v>
      </c>
      <c r="F98" s="456"/>
      <c r="G98" s="456"/>
      <c r="H98" s="456"/>
      <c r="I98" s="456"/>
      <c r="J98" s="456"/>
      <c r="K98" s="456"/>
      <c r="L98" s="456"/>
      <c r="M98" s="456"/>
    </row>
    <row r="99" spans="2:13" x14ac:dyDescent="0.25">
      <c r="B99" s="460" t="s">
        <v>1119</v>
      </c>
      <c r="C99" s="460"/>
      <c r="D99" s="460"/>
      <c r="E99" s="456" t="s">
        <v>1147</v>
      </c>
      <c r="F99" s="456"/>
      <c r="G99" s="456"/>
    </row>
    <row r="102" spans="2:13" x14ac:dyDescent="0.25">
      <c r="B102" s="86"/>
      <c r="C102" s="86"/>
      <c r="D102" s="86"/>
      <c r="E102" s="86"/>
      <c r="F102" s="86"/>
      <c r="G102" s="86"/>
      <c r="H102" s="86"/>
      <c r="I102" s="86"/>
      <c r="J102" s="86"/>
      <c r="K102" s="86"/>
      <c r="L102" s="86"/>
      <c r="M102" s="86"/>
    </row>
    <row r="103" spans="2:13" x14ac:dyDescent="0.25">
      <c r="B103" s="86"/>
      <c r="C103" s="86"/>
      <c r="D103" s="86"/>
      <c r="E103" s="86"/>
      <c r="F103" s="86"/>
      <c r="G103" s="86"/>
      <c r="H103" s="86"/>
      <c r="I103" s="86"/>
      <c r="J103" s="86"/>
      <c r="K103" s="86"/>
      <c r="L103" s="86"/>
      <c r="M103" s="86"/>
    </row>
    <row r="104" spans="2:13" x14ac:dyDescent="0.25">
      <c r="B104" s="86"/>
      <c r="C104" s="86"/>
      <c r="D104" s="86"/>
      <c r="E104" s="86"/>
      <c r="F104" s="86"/>
      <c r="G104" s="86"/>
      <c r="H104" s="86"/>
      <c r="I104" s="86"/>
      <c r="J104" s="86"/>
      <c r="K104" s="86"/>
      <c r="L104" s="86"/>
      <c r="M104" s="86"/>
    </row>
  </sheetData>
  <mergeCells count="62">
    <mergeCell ref="B97:D97"/>
    <mergeCell ref="E97:G97"/>
    <mergeCell ref="B98:D98"/>
    <mergeCell ref="E98:M98"/>
    <mergeCell ref="B99:D99"/>
    <mergeCell ref="E99:G99"/>
    <mergeCell ref="B94:D94"/>
    <mergeCell ref="E94:I94"/>
    <mergeCell ref="B95:D95"/>
    <mergeCell ref="E95:I95"/>
    <mergeCell ref="B96:D96"/>
    <mergeCell ref="E96:M96"/>
    <mergeCell ref="B84:D84"/>
    <mergeCell ref="B85:D85"/>
    <mergeCell ref="B87:E87"/>
    <mergeCell ref="B91:K91"/>
    <mergeCell ref="B93:D93"/>
    <mergeCell ref="E93:G93"/>
    <mergeCell ref="B78:D78"/>
    <mergeCell ref="B81:D81"/>
    <mergeCell ref="B82:D82"/>
    <mergeCell ref="E82:I82"/>
    <mergeCell ref="E83:L83"/>
    <mergeCell ref="B74:D74"/>
    <mergeCell ref="B75:D75"/>
    <mergeCell ref="E75:I75"/>
    <mergeCell ref="E76:L76"/>
    <mergeCell ref="B77:D77"/>
    <mergeCell ref="E77:G77"/>
    <mergeCell ref="B47:D47"/>
    <mergeCell ref="B48:D48"/>
    <mergeCell ref="B51:D51"/>
    <mergeCell ref="B52:D52"/>
    <mergeCell ref="B54:D54"/>
    <mergeCell ref="A1:I1"/>
    <mergeCell ref="A3:K6"/>
    <mergeCell ref="B18:D18"/>
    <mergeCell ref="B21:D21"/>
    <mergeCell ref="E21:I21"/>
    <mergeCell ref="B22:D22"/>
    <mergeCell ref="E22:I22"/>
    <mergeCell ref="B24:D24"/>
    <mergeCell ref="B25:D25"/>
    <mergeCell ref="B29:D29"/>
    <mergeCell ref="B32:D32"/>
    <mergeCell ref="E32:I32"/>
    <mergeCell ref="B33:D33"/>
    <mergeCell ref="E33:I33"/>
    <mergeCell ref="B35:D35"/>
    <mergeCell ref="B36:D36"/>
    <mergeCell ref="B40:I40"/>
    <mergeCell ref="B42:E42"/>
    <mergeCell ref="B44:D44"/>
    <mergeCell ref="B45:D45"/>
    <mergeCell ref="B66:D66"/>
    <mergeCell ref="B67:D67"/>
    <mergeCell ref="B71:P71"/>
    <mergeCell ref="B55:D55"/>
    <mergeCell ref="B63:D63"/>
    <mergeCell ref="B64:D64"/>
    <mergeCell ref="E64:I64"/>
    <mergeCell ref="E65:L6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788D0-95E2-4EB5-A05B-1DD59AC4498B}">
  <dimension ref="A1:M80"/>
  <sheetViews>
    <sheetView workbookViewId="0">
      <selection sqref="A1:XFD1048576"/>
    </sheetView>
  </sheetViews>
  <sheetFormatPr defaultRowHeight="15" x14ac:dyDescent="0.25"/>
  <cols>
    <col min="1" max="16384" width="9.140625" style="84"/>
  </cols>
  <sheetData>
    <row r="1" spans="1:13" ht="21" x14ac:dyDescent="0.35">
      <c r="A1" s="457" t="s">
        <v>1148</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4" x14ac:dyDescent="0.25">
      <c r="A17" s="84" t="s">
        <v>10</v>
      </c>
      <c r="B17" s="84" t="s">
        <v>11</v>
      </c>
    </row>
    <row r="20" spans="1:4" x14ac:dyDescent="0.25">
      <c r="B20" s="13" t="s">
        <v>109</v>
      </c>
      <c r="C20" s="13"/>
      <c r="D20" s="13"/>
    </row>
    <row r="21" spans="1:4" x14ac:dyDescent="0.25">
      <c r="B21" s="13"/>
      <c r="C21" s="13"/>
      <c r="D21" s="13"/>
    </row>
    <row r="22" spans="1:4" x14ac:dyDescent="0.25">
      <c r="B22" s="13" t="s">
        <v>110</v>
      </c>
      <c r="C22" s="13"/>
      <c r="D22" s="13"/>
    </row>
    <row r="23" spans="1:4" x14ac:dyDescent="0.25">
      <c r="B23" s="13" t="s">
        <v>111</v>
      </c>
      <c r="C23" s="13"/>
      <c r="D23" s="13"/>
    </row>
    <row r="24" spans="1:4" x14ac:dyDescent="0.25">
      <c r="B24" s="13" t="s">
        <v>112</v>
      </c>
      <c r="C24" s="13"/>
      <c r="D24" s="13"/>
    </row>
    <row r="27" spans="1:4" x14ac:dyDescent="0.25">
      <c r="A27" s="84" t="s">
        <v>12</v>
      </c>
      <c r="B27" s="84" t="s">
        <v>13</v>
      </c>
    </row>
    <row r="30" spans="1:4" x14ac:dyDescent="0.25">
      <c r="B30" s="13" t="s">
        <v>109</v>
      </c>
      <c r="C30" s="13"/>
      <c r="D30" s="13"/>
    </row>
    <row r="31" spans="1:4" x14ac:dyDescent="0.25">
      <c r="B31" s="13"/>
      <c r="C31" s="13"/>
      <c r="D31" s="13"/>
    </row>
    <row r="32" spans="1:4" x14ac:dyDescent="0.25">
      <c r="B32" s="13" t="s">
        <v>110</v>
      </c>
      <c r="C32" s="13"/>
      <c r="D32" s="13"/>
    </row>
    <row r="33" spans="1:8" x14ac:dyDescent="0.25">
      <c r="B33" s="13" t="s">
        <v>111</v>
      </c>
      <c r="C33" s="13"/>
      <c r="D33" s="13"/>
    </row>
    <row r="34" spans="1:8" x14ac:dyDescent="0.25">
      <c r="B34" s="13" t="s">
        <v>112</v>
      </c>
      <c r="C34" s="13"/>
      <c r="D34" s="13"/>
    </row>
    <row r="37" spans="1:8" x14ac:dyDescent="0.25">
      <c r="A37" s="84" t="s">
        <v>15</v>
      </c>
      <c r="B37" s="84" t="s">
        <v>16</v>
      </c>
    </row>
    <row r="39" spans="1:8" x14ac:dyDescent="0.25">
      <c r="B39" s="13" t="s">
        <v>113</v>
      </c>
      <c r="C39" s="13"/>
      <c r="D39" s="13"/>
      <c r="E39" s="13"/>
      <c r="F39" s="13"/>
      <c r="G39" s="13"/>
      <c r="H39" s="13"/>
    </row>
    <row r="40" spans="1:8" x14ac:dyDescent="0.25">
      <c r="B40" s="13" t="s">
        <v>114</v>
      </c>
      <c r="C40" s="13"/>
      <c r="D40" s="13"/>
      <c r="E40" s="13"/>
      <c r="F40" s="13"/>
      <c r="G40" s="13"/>
      <c r="H40" s="13"/>
    </row>
    <row r="41" spans="1:8" x14ac:dyDescent="0.25">
      <c r="B41" s="13" t="s">
        <v>115</v>
      </c>
      <c r="C41" s="13"/>
      <c r="D41" s="13"/>
      <c r="E41" s="13"/>
      <c r="F41" s="13"/>
      <c r="G41" s="13"/>
      <c r="H41" s="13"/>
    </row>
    <row r="47" spans="1:8" x14ac:dyDescent="0.25">
      <c r="A47" s="84" t="s">
        <v>17</v>
      </c>
      <c r="B47" s="84" t="s">
        <v>18</v>
      </c>
    </row>
    <row r="49" spans="1:13" x14ac:dyDescent="0.25">
      <c r="B49" s="86"/>
      <c r="C49" s="86"/>
      <c r="D49" s="86"/>
      <c r="E49" s="86"/>
      <c r="F49" s="86"/>
      <c r="G49" s="86"/>
      <c r="H49" s="86"/>
      <c r="I49" s="86"/>
      <c r="J49" s="86"/>
      <c r="K49" s="86"/>
      <c r="L49" s="86"/>
      <c r="M49" s="86"/>
    </row>
    <row r="50" spans="1:13" x14ac:dyDescent="0.25">
      <c r="B50" s="13" t="s">
        <v>116</v>
      </c>
      <c r="C50" s="13"/>
      <c r="D50" s="13"/>
      <c r="E50" s="86"/>
      <c r="F50" s="86"/>
      <c r="G50" s="86"/>
      <c r="H50" s="86"/>
      <c r="I50" s="86"/>
      <c r="J50" s="86"/>
      <c r="K50" s="86"/>
      <c r="L50" s="86"/>
      <c r="M50" s="86"/>
    </row>
    <row r="51" spans="1:13" x14ac:dyDescent="0.25">
      <c r="B51" s="13"/>
      <c r="C51" s="13"/>
      <c r="D51" s="13"/>
      <c r="E51" s="86"/>
      <c r="F51" s="86"/>
      <c r="G51" s="86"/>
      <c r="H51" s="86"/>
      <c r="I51" s="86"/>
      <c r="J51" s="86"/>
      <c r="K51" s="86"/>
      <c r="L51" s="86"/>
      <c r="M51" s="86"/>
    </row>
    <row r="52" spans="1:13" x14ac:dyDescent="0.25">
      <c r="B52" s="13" t="s">
        <v>117</v>
      </c>
      <c r="C52" s="13"/>
      <c r="D52" s="13"/>
    </row>
    <row r="53" spans="1:13" x14ac:dyDescent="0.25">
      <c r="B53" s="13" t="s">
        <v>118</v>
      </c>
      <c r="C53" s="13"/>
      <c r="D53" s="13"/>
    </row>
    <row r="54" spans="1:13" x14ac:dyDescent="0.25">
      <c r="B54" s="13" t="s">
        <v>119</v>
      </c>
      <c r="C54" s="13"/>
      <c r="D54" s="13"/>
    </row>
    <row r="57" spans="1:13" x14ac:dyDescent="0.25">
      <c r="A57" s="84" t="s">
        <v>20</v>
      </c>
      <c r="B57" s="84" t="s">
        <v>21</v>
      </c>
    </row>
    <row r="59" spans="1:13" x14ac:dyDescent="0.25">
      <c r="B59" s="13" t="s">
        <v>116</v>
      </c>
      <c r="C59" s="13"/>
      <c r="D59" s="13"/>
      <c r="E59" s="13"/>
      <c r="F59" s="13" t="s">
        <v>109</v>
      </c>
      <c r="G59" s="13"/>
      <c r="H59" s="13"/>
    </row>
    <row r="60" spans="1:13" x14ac:dyDescent="0.25">
      <c r="B60" s="13"/>
      <c r="C60" s="13"/>
      <c r="D60" s="13"/>
      <c r="E60" s="13"/>
      <c r="F60" s="13"/>
      <c r="G60" s="13"/>
      <c r="H60" s="13"/>
    </row>
    <row r="61" spans="1:13" x14ac:dyDescent="0.25">
      <c r="B61" s="13" t="s">
        <v>117</v>
      </c>
      <c r="C61" s="13"/>
      <c r="D61" s="13"/>
      <c r="E61" s="13"/>
      <c r="F61" s="13" t="s">
        <v>120</v>
      </c>
      <c r="G61" s="13"/>
      <c r="H61" s="13"/>
    </row>
    <row r="62" spans="1:13" x14ac:dyDescent="0.25">
      <c r="B62" s="13" t="s">
        <v>118</v>
      </c>
      <c r="C62" s="13"/>
      <c r="D62" s="13"/>
      <c r="E62" s="13"/>
      <c r="F62" s="13" t="s">
        <v>121</v>
      </c>
      <c r="G62" s="13"/>
      <c r="H62" s="13"/>
    </row>
    <row r="63" spans="1:13" x14ac:dyDescent="0.25">
      <c r="B63" s="13" t="s">
        <v>119</v>
      </c>
      <c r="C63" s="13"/>
      <c r="D63" s="13"/>
      <c r="E63" s="13"/>
      <c r="F63" s="13" t="s">
        <v>112</v>
      </c>
      <c r="G63" s="13"/>
      <c r="H63" s="13"/>
    </row>
    <row r="64" spans="1:13" x14ac:dyDescent="0.25">
      <c r="B64" s="13"/>
      <c r="C64" s="13"/>
      <c r="D64" s="13"/>
      <c r="E64" s="13"/>
      <c r="F64" s="13"/>
      <c r="G64" s="13"/>
      <c r="H64" s="13"/>
    </row>
    <row r="65" spans="1:13" x14ac:dyDescent="0.25">
      <c r="B65" s="13" t="s">
        <v>122</v>
      </c>
      <c r="C65" s="13"/>
      <c r="D65" s="13"/>
      <c r="E65" s="13"/>
      <c r="F65" s="13"/>
      <c r="G65" s="13"/>
      <c r="H65" s="13"/>
      <c r="I65" s="86"/>
      <c r="J65" s="86"/>
      <c r="K65" s="86"/>
      <c r="L65" s="86"/>
      <c r="M65" s="86"/>
    </row>
    <row r="66" spans="1:13" x14ac:dyDescent="0.25">
      <c r="B66" s="13" t="s">
        <v>123</v>
      </c>
      <c r="C66" s="13"/>
      <c r="D66" s="13"/>
      <c r="E66" s="13"/>
      <c r="F66" s="13"/>
      <c r="G66" s="13"/>
      <c r="H66" s="13"/>
      <c r="I66" s="86"/>
      <c r="J66" s="86"/>
      <c r="K66" s="86"/>
      <c r="L66" s="86"/>
      <c r="M66" s="86"/>
    </row>
    <row r="67" spans="1:13" x14ac:dyDescent="0.25">
      <c r="A67" s="84" t="s">
        <v>22</v>
      </c>
      <c r="B67" s="84" t="s">
        <v>23</v>
      </c>
    </row>
    <row r="68" spans="1:13" ht="40.5" customHeight="1" x14ac:dyDescent="0.25">
      <c r="B68" s="459" t="s">
        <v>24</v>
      </c>
      <c r="C68" s="459"/>
      <c r="D68" s="459"/>
      <c r="E68" s="459"/>
      <c r="F68" s="459"/>
      <c r="G68" s="459"/>
      <c r="H68" s="459"/>
      <c r="I68" s="459"/>
      <c r="J68" s="459"/>
      <c r="K68" s="459"/>
      <c r="L68" s="86"/>
      <c r="M68" s="86"/>
    </row>
    <row r="69" spans="1:13" x14ac:dyDescent="0.25">
      <c r="B69" s="88"/>
      <c r="C69" s="88"/>
      <c r="D69" s="88"/>
      <c r="E69" s="88"/>
      <c r="F69" s="88"/>
      <c r="G69" s="88"/>
      <c r="H69" s="88"/>
      <c r="I69" s="88"/>
      <c r="J69" s="88"/>
      <c r="K69" s="88"/>
      <c r="L69" s="86"/>
      <c r="M69" s="86"/>
    </row>
    <row r="70" spans="1:13" x14ac:dyDescent="0.25">
      <c r="B70" s="13" t="s">
        <v>124</v>
      </c>
      <c r="C70" s="13"/>
      <c r="D70" s="13"/>
      <c r="E70" s="13"/>
      <c r="F70" s="13"/>
      <c r="G70" s="13"/>
      <c r="H70" s="13"/>
      <c r="I70" s="13"/>
      <c r="J70" s="88"/>
      <c r="K70" s="88"/>
      <c r="L70" s="86"/>
      <c r="M70" s="86"/>
    </row>
    <row r="71" spans="1:13" x14ac:dyDescent="0.25">
      <c r="B71" s="13" t="s">
        <v>125</v>
      </c>
      <c r="C71" s="13"/>
      <c r="D71" s="13"/>
      <c r="E71" s="13"/>
      <c r="F71" s="13"/>
      <c r="G71" s="13"/>
      <c r="H71" s="13"/>
      <c r="I71" s="13"/>
    </row>
    <row r="72" spans="1:13" x14ac:dyDescent="0.25">
      <c r="B72" s="13" t="s">
        <v>126</v>
      </c>
      <c r="C72" s="13"/>
      <c r="D72" s="13"/>
      <c r="E72" s="13"/>
      <c r="F72" s="13"/>
      <c r="G72" s="13"/>
      <c r="H72" s="13"/>
      <c r="I72" s="13"/>
    </row>
    <row r="73" spans="1:13" x14ac:dyDescent="0.25">
      <c r="B73" s="13" t="s">
        <v>127</v>
      </c>
      <c r="C73" s="13"/>
      <c r="D73" s="13"/>
      <c r="E73" s="13"/>
      <c r="F73" s="13"/>
      <c r="G73" s="13"/>
      <c r="H73" s="13"/>
      <c r="I73" s="13"/>
    </row>
    <row r="74" spans="1:13" x14ac:dyDescent="0.25">
      <c r="B74" s="13" t="s">
        <v>128</v>
      </c>
      <c r="C74" s="13"/>
      <c r="D74" s="13"/>
      <c r="E74" s="13"/>
      <c r="F74" s="13"/>
      <c r="G74" s="13"/>
      <c r="H74" s="13"/>
      <c r="I74" s="13"/>
    </row>
    <row r="75" spans="1:13" x14ac:dyDescent="0.25">
      <c r="B75" s="13" t="s">
        <v>129</v>
      </c>
      <c r="C75" s="13"/>
      <c r="D75" s="13"/>
      <c r="E75" s="13"/>
      <c r="F75" s="13"/>
      <c r="G75" s="13"/>
      <c r="H75" s="13"/>
      <c r="I75" s="13"/>
    </row>
    <row r="76" spans="1:13" x14ac:dyDescent="0.25">
      <c r="B76" s="13" t="s">
        <v>130</v>
      </c>
      <c r="C76" s="13"/>
      <c r="D76" s="13"/>
      <c r="E76" s="13"/>
      <c r="F76" s="13"/>
      <c r="G76" s="13"/>
      <c r="H76" s="13"/>
      <c r="I76" s="13"/>
    </row>
    <row r="78" spans="1:13" x14ac:dyDescent="0.25">
      <c r="B78" s="86"/>
      <c r="C78" s="86"/>
      <c r="D78" s="86"/>
      <c r="E78" s="86"/>
      <c r="F78" s="86"/>
      <c r="G78" s="86"/>
      <c r="H78" s="86"/>
      <c r="I78" s="86"/>
      <c r="J78" s="86"/>
      <c r="K78" s="86"/>
      <c r="L78" s="86"/>
      <c r="M78" s="86"/>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sheetData>
  <mergeCells count="3">
    <mergeCell ref="A1:I1"/>
    <mergeCell ref="A3:K6"/>
    <mergeCell ref="B68:K6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70D43-CF80-4428-86DB-347F946D2F0C}">
  <dimension ref="A1:M81"/>
  <sheetViews>
    <sheetView workbookViewId="0">
      <selection activeCell="V15" sqref="V15"/>
    </sheetView>
  </sheetViews>
  <sheetFormatPr defaultRowHeight="15" x14ac:dyDescent="0.25"/>
  <cols>
    <col min="1" max="16384" width="9.140625" style="84"/>
  </cols>
  <sheetData>
    <row r="1" spans="1:13" ht="21" x14ac:dyDescent="0.35">
      <c r="A1" s="457" t="s">
        <v>1149</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2" x14ac:dyDescent="0.25">
      <c r="A17" s="84" t="s">
        <v>10</v>
      </c>
      <c r="B17" s="84" t="s">
        <v>11</v>
      </c>
    </row>
    <row r="19" spans="1:2" x14ac:dyDescent="0.25">
      <c r="B19" s="176" t="s">
        <v>131</v>
      </c>
    </row>
    <row r="20" spans="1:2" x14ac:dyDescent="0.25">
      <c r="B20" t="s">
        <v>132</v>
      </c>
    </row>
    <row r="21" spans="1:2" x14ac:dyDescent="0.25">
      <c r="B21" t="s">
        <v>133</v>
      </c>
    </row>
    <row r="22" spans="1:2" x14ac:dyDescent="0.25">
      <c r="B22" t="s">
        <v>134</v>
      </c>
    </row>
    <row r="25" spans="1:2" x14ac:dyDescent="0.25">
      <c r="A25" s="84" t="s">
        <v>12</v>
      </c>
      <c r="B25" s="84" t="s">
        <v>13</v>
      </c>
    </row>
    <row r="27" spans="1:2" x14ac:dyDescent="0.25">
      <c r="B27" s="176" t="s">
        <v>131</v>
      </c>
    </row>
    <row r="28" spans="1:2" x14ac:dyDescent="0.25">
      <c r="B28" t="s">
        <v>132</v>
      </c>
    </row>
    <row r="29" spans="1:2" x14ac:dyDescent="0.25">
      <c r="B29" t="s">
        <v>133</v>
      </c>
    </row>
    <row r="30" spans="1:2" x14ac:dyDescent="0.25">
      <c r="B30" t="s">
        <v>134</v>
      </c>
    </row>
    <row r="33" spans="1:2" x14ac:dyDescent="0.25">
      <c r="A33" s="84" t="s">
        <v>15</v>
      </c>
      <c r="B33" s="84" t="s">
        <v>16</v>
      </c>
    </row>
    <row r="35" spans="1:2" x14ac:dyDescent="0.25">
      <c r="B35" s="176" t="s">
        <v>135</v>
      </c>
    </row>
    <row r="36" spans="1:2" x14ac:dyDescent="0.25">
      <c r="B36" t="s">
        <v>136</v>
      </c>
    </row>
    <row r="37" spans="1:2" x14ac:dyDescent="0.25">
      <c r="B37" t="s">
        <v>133</v>
      </c>
    </row>
    <row r="38" spans="1:2" x14ac:dyDescent="0.25">
      <c r="B38" t="s">
        <v>137</v>
      </c>
    </row>
    <row r="40" spans="1:2" x14ac:dyDescent="0.25">
      <c r="B40" t="s">
        <v>138</v>
      </c>
    </row>
    <row r="41" spans="1:2" x14ac:dyDescent="0.25">
      <c r="B41" t="s">
        <v>136</v>
      </c>
    </row>
    <row r="42" spans="1:2" x14ac:dyDescent="0.25">
      <c r="B42" t="s">
        <v>133</v>
      </c>
    </row>
    <row r="43" spans="1:2" x14ac:dyDescent="0.25">
      <c r="B43" t="s">
        <v>139</v>
      </c>
    </row>
    <row r="45" spans="1:2" x14ac:dyDescent="0.25">
      <c r="B45" t="s">
        <v>140</v>
      </c>
    </row>
    <row r="48" spans="1:2" x14ac:dyDescent="0.25">
      <c r="A48" s="84" t="s">
        <v>17</v>
      </c>
      <c r="B48" s="84" t="s">
        <v>18</v>
      </c>
    </row>
    <row r="50" spans="1:13" x14ac:dyDescent="0.25">
      <c r="B50" s="177" t="s">
        <v>141</v>
      </c>
      <c r="C50" s="86"/>
      <c r="D50" s="86"/>
      <c r="E50" s="86"/>
      <c r="F50" s="86"/>
      <c r="G50" s="86"/>
      <c r="H50" s="86"/>
      <c r="I50" s="86"/>
      <c r="J50" s="86"/>
      <c r="K50" s="86"/>
      <c r="L50" s="86"/>
      <c r="M50" s="86"/>
    </row>
    <row r="51" spans="1:13" x14ac:dyDescent="0.25">
      <c r="B51" s="76" t="s">
        <v>142</v>
      </c>
      <c r="C51" s="86"/>
      <c r="D51" s="86"/>
      <c r="E51" s="86"/>
      <c r="F51" s="86"/>
      <c r="G51" s="86"/>
      <c r="H51" s="86"/>
      <c r="I51" s="86"/>
      <c r="J51" s="86"/>
      <c r="K51" s="86"/>
      <c r="L51" s="86"/>
      <c r="M51" s="86"/>
    </row>
    <row r="52" spans="1:13" x14ac:dyDescent="0.25">
      <c r="B52" s="76" t="s">
        <v>133</v>
      </c>
      <c r="C52" s="86"/>
      <c r="D52" s="86"/>
      <c r="E52" s="86"/>
      <c r="F52" s="86"/>
      <c r="G52" s="86"/>
      <c r="H52" s="86"/>
      <c r="I52" s="86"/>
      <c r="J52" s="86"/>
      <c r="K52" s="86"/>
      <c r="L52" s="86"/>
      <c r="M52" s="86"/>
    </row>
    <row r="53" spans="1:13" x14ac:dyDescent="0.25">
      <c r="B53" t="s">
        <v>143</v>
      </c>
    </row>
    <row r="56" spans="1:13" x14ac:dyDescent="0.25">
      <c r="A56" s="84" t="s">
        <v>20</v>
      </c>
      <c r="B56" s="84" t="s">
        <v>21</v>
      </c>
    </row>
    <row r="58" spans="1:13" x14ac:dyDescent="0.25">
      <c r="B58" t="s">
        <v>144</v>
      </c>
    </row>
    <row r="59" spans="1:13" x14ac:dyDescent="0.25">
      <c r="B59" t="s">
        <v>145</v>
      </c>
    </row>
    <row r="60" spans="1:13" x14ac:dyDescent="0.25">
      <c r="B60" t="s">
        <v>146</v>
      </c>
    </row>
    <row r="61" spans="1:13" x14ac:dyDescent="0.25">
      <c r="B61" t="s">
        <v>147</v>
      </c>
    </row>
    <row r="62" spans="1:13" x14ac:dyDescent="0.25">
      <c r="B62" t="s">
        <v>148</v>
      </c>
    </row>
    <row r="63" spans="1:13" x14ac:dyDescent="0.25">
      <c r="B63" t="s">
        <v>133</v>
      </c>
    </row>
    <row r="65" spans="1:13" x14ac:dyDescent="0.25">
      <c r="B65" t="s">
        <v>149</v>
      </c>
    </row>
    <row r="66" spans="1:13" x14ac:dyDescent="0.25">
      <c r="B66" s="86"/>
      <c r="C66" s="86"/>
      <c r="D66" s="86"/>
      <c r="E66" s="86"/>
      <c r="F66" s="86"/>
      <c r="G66" s="86"/>
      <c r="H66" s="86"/>
      <c r="I66" s="86"/>
      <c r="J66" s="86"/>
      <c r="K66" s="86"/>
      <c r="L66" s="86"/>
      <c r="M66" s="86"/>
    </row>
    <row r="67" spans="1:13" x14ac:dyDescent="0.25">
      <c r="B67" s="86"/>
      <c r="C67" s="86"/>
      <c r="D67" s="86"/>
      <c r="E67" s="86"/>
      <c r="F67" s="86"/>
      <c r="G67" s="86"/>
      <c r="H67" s="86"/>
      <c r="I67" s="86"/>
      <c r="J67" s="86"/>
      <c r="K67" s="86"/>
      <c r="L67" s="86"/>
      <c r="M67" s="86"/>
    </row>
    <row r="68" spans="1:13" x14ac:dyDescent="0.25">
      <c r="A68" s="84" t="s">
        <v>22</v>
      </c>
      <c r="B68" s="84" t="s">
        <v>23</v>
      </c>
    </row>
    <row r="69" spans="1:13" ht="40.5" customHeight="1" x14ac:dyDescent="0.25">
      <c r="B69" s="459" t="s">
        <v>24</v>
      </c>
      <c r="C69" s="459"/>
      <c r="D69" s="459"/>
      <c r="E69" s="459"/>
      <c r="F69" s="459"/>
      <c r="G69" s="459"/>
      <c r="H69" s="459"/>
      <c r="I69" s="459"/>
      <c r="J69" s="459"/>
      <c r="K69" s="459"/>
      <c r="L69" s="86"/>
      <c r="M69" s="86"/>
    </row>
    <row r="70" spans="1:13" x14ac:dyDescent="0.25">
      <c r="B70" s="88"/>
      <c r="C70" s="88"/>
      <c r="D70" s="88"/>
      <c r="E70" s="88"/>
      <c r="F70" s="88"/>
      <c r="G70" s="88"/>
      <c r="H70" s="88"/>
      <c r="I70" s="88"/>
      <c r="J70" s="88"/>
      <c r="K70" s="88"/>
      <c r="L70" s="86"/>
      <c r="M70" s="86"/>
    </row>
    <row r="71" spans="1:13" x14ac:dyDescent="0.25">
      <c r="B71" t="s">
        <v>150</v>
      </c>
      <c r="C71" s="88"/>
      <c r="D71" s="88"/>
      <c r="E71" s="88"/>
      <c r="F71" s="88"/>
      <c r="G71" s="88"/>
      <c r="H71" s="88"/>
      <c r="I71" s="88"/>
      <c r="J71" s="88"/>
      <c r="K71" s="88"/>
      <c r="L71" s="86"/>
      <c r="M71" s="86"/>
    </row>
    <row r="72" spans="1:13" x14ac:dyDescent="0.25">
      <c r="B72" t="s">
        <v>151</v>
      </c>
    </row>
    <row r="73" spans="1:13" x14ac:dyDescent="0.25">
      <c r="B73" t="s">
        <v>152</v>
      </c>
    </row>
    <row r="74" spans="1:13" x14ac:dyDescent="0.25">
      <c r="B74" t="s">
        <v>153</v>
      </c>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row r="81" spans="2:13" x14ac:dyDescent="0.25">
      <c r="B81" s="86"/>
      <c r="C81" s="86"/>
      <c r="D81" s="86"/>
      <c r="E81" s="86"/>
      <c r="F81" s="86"/>
      <c r="G81" s="86"/>
      <c r="H81" s="86"/>
      <c r="I81" s="86"/>
      <c r="J81" s="86"/>
      <c r="K81" s="86"/>
      <c r="L81" s="86"/>
      <c r="M81" s="86"/>
    </row>
  </sheetData>
  <mergeCells count="3">
    <mergeCell ref="A1:I1"/>
    <mergeCell ref="A3:K6"/>
    <mergeCell ref="B69:K6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B05E4-73C4-4FB5-854A-D246BE7D5C9F}">
  <dimension ref="A1:M81"/>
  <sheetViews>
    <sheetView workbookViewId="0">
      <selection sqref="A1:XFD1048576"/>
    </sheetView>
  </sheetViews>
  <sheetFormatPr defaultRowHeight="15" x14ac:dyDescent="0.25"/>
  <cols>
    <col min="1" max="1" width="9.140625" style="84"/>
    <col min="2" max="2" width="16.42578125" style="84" customWidth="1"/>
    <col min="3" max="4" width="10.140625" style="84" bestFit="1" customWidth="1"/>
    <col min="5" max="16384" width="9.140625" style="84"/>
  </cols>
  <sheetData>
    <row r="1" spans="1:13" ht="21" x14ac:dyDescent="0.35">
      <c r="A1" s="457" t="s">
        <v>1150</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3" x14ac:dyDescent="0.25">
      <c r="A17" s="84" t="s">
        <v>10</v>
      </c>
      <c r="B17" s="84" t="s">
        <v>11</v>
      </c>
    </row>
    <row r="18" spans="1:3" ht="15.75" thickBot="1" x14ac:dyDescent="0.3"/>
    <row r="19" spans="1:3" x14ac:dyDescent="0.25">
      <c r="B19" s="482" t="s">
        <v>154</v>
      </c>
      <c r="C19" s="482"/>
    </row>
    <row r="21" spans="1:3" x14ac:dyDescent="0.25">
      <c r="B21" s="178" t="s">
        <v>155</v>
      </c>
      <c r="C21" s="179">
        <v>2325</v>
      </c>
    </row>
    <row r="22" spans="1:3" ht="15.75" thickBot="1" x14ac:dyDescent="0.3">
      <c r="B22" s="178" t="s">
        <v>156</v>
      </c>
      <c r="C22" s="180" t="s">
        <v>157</v>
      </c>
    </row>
    <row r="23" spans="1:3" x14ac:dyDescent="0.25">
      <c r="B23" s="178" t="s">
        <v>158</v>
      </c>
      <c r="C23" s="178">
        <v>39.409999999999997</v>
      </c>
    </row>
    <row r="27" spans="1:3" x14ac:dyDescent="0.25">
      <c r="A27" s="84" t="s">
        <v>12</v>
      </c>
      <c r="B27" s="84" t="s">
        <v>13</v>
      </c>
    </row>
    <row r="28" spans="1:3" ht="15.75" thickBot="1" x14ac:dyDescent="0.3"/>
    <row r="29" spans="1:3" x14ac:dyDescent="0.25">
      <c r="B29" s="482" t="s">
        <v>154</v>
      </c>
      <c r="C29" s="482"/>
    </row>
    <row r="30" spans="1:3" x14ac:dyDescent="0.25">
      <c r="B30" s="178"/>
      <c r="C30" s="178"/>
    </row>
    <row r="31" spans="1:3" x14ac:dyDescent="0.25">
      <c r="B31" s="178" t="s">
        <v>155</v>
      </c>
      <c r="C31" s="179">
        <v>2325</v>
      </c>
    </row>
    <row r="32" spans="1:3" ht="15.75" thickBot="1" x14ac:dyDescent="0.3">
      <c r="B32" s="178" t="s">
        <v>156</v>
      </c>
      <c r="C32" s="180" t="s">
        <v>157</v>
      </c>
    </row>
    <row r="33" spans="1:6" x14ac:dyDescent="0.25">
      <c r="B33" s="178" t="s">
        <v>158</v>
      </c>
      <c r="C33" s="178">
        <v>39.409999999999997</v>
      </c>
    </row>
    <row r="37" spans="1:6" x14ac:dyDescent="0.25">
      <c r="A37" s="84" t="s">
        <v>15</v>
      </c>
      <c r="B37" s="84" t="s">
        <v>16</v>
      </c>
    </row>
    <row r="38" spans="1:6" ht="15.75" thickBot="1" x14ac:dyDescent="0.3"/>
    <row r="39" spans="1:6" x14ac:dyDescent="0.25">
      <c r="B39" s="482" t="s">
        <v>159</v>
      </c>
      <c r="C39" s="482"/>
      <c r="D39" s="482"/>
      <c r="E39" s="482"/>
      <c r="F39" s="178"/>
    </row>
    <row r="40" spans="1:6" x14ac:dyDescent="0.25">
      <c r="B40" s="178"/>
      <c r="C40" s="181"/>
      <c r="D40" s="181"/>
      <c r="E40" s="181"/>
      <c r="F40" s="178" t="s">
        <v>59</v>
      </c>
    </row>
    <row r="41" spans="1:6" x14ac:dyDescent="0.25">
      <c r="B41" s="178" t="s">
        <v>155</v>
      </c>
      <c r="C41" s="179">
        <v>1744</v>
      </c>
      <c r="D41" s="178"/>
      <c r="E41" s="178"/>
      <c r="F41" s="178">
        <v>1743.75</v>
      </c>
    </row>
    <row r="42" spans="1:6" ht="15.75" thickBot="1" x14ac:dyDescent="0.3">
      <c r="B42" s="178" t="s">
        <v>156</v>
      </c>
      <c r="C42" s="180" t="s">
        <v>157</v>
      </c>
      <c r="D42" s="178"/>
      <c r="E42" s="178"/>
      <c r="F42" s="182" t="s">
        <v>157</v>
      </c>
    </row>
    <row r="43" spans="1:6" x14ac:dyDescent="0.25">
      <c r="B43" s="178" t="s">
        <v>158</v>
      </c>
      <c r="C43" s="179">
        <v>29.56</v>
      </c>
      <c r="D43" s="178"/>
      <c r="E43" s="178"/>
      <c r="F43" s="178">
        <v>29.56</v>
      </c>
    </row>
    <row r="44" spans="1:6" x14ac:dyDescent="0.25">
      <c r="B44" s="178"/>
      <c r="C44" s="178" t="s">
        <v>160</v>
      </c>
      <c r="D44" s="178"/>
      <c r="E44" s="178"/>
      <c r="F44" s="178"/>
    </row>
    <row r="47" spans="1:6" x14ac:dyDescent="0.25">
      <c r="A47" s="84" t="s">
        <v>17</v>
      </c>
      <c r="B47" s="84" t="s">
        <v>18</v>
      </c>
    </row>
    <row r="48" spans="1:6" ht="15.75" thickBot="1" x14ac:dyDescent="0.3"/>
    <row r="49" spans="1:13" x14ac:dyDescent="0.25">
      <c r="B49" s="482" t="s">
        <v>161</v>
      </c>
      <c r="C49" s="482"/>
      <c r="D49" s="86"/>
      <c r="E49" s="86"/>
      <c r="F49" s="86"/>
      <c r="G49" s="86"/>
      <c r="H49" s="86"/>
      <c r="I49" s="86"/>
      <c r="J49" s="86"/>
      <c r="K49" s="86"/>
      <c r="L49" s="86"/>
      <c r="M49" s="86"/>
    </row>
    <row r="50" spans="1:13" x14ac:dyDescent="0.25">
      <c r="B50" s="178"/>
      <c r="C50" s="178"/>
      <c r="D50" s="86"/>
      <c r="E50" s="86"/>
      <c r="F50" s="86"/>
      <c r="G50" s="86"/>
      <c r="H50" s="86"/>
      <c r="I50" s="86"/>
      <c r="J50" s="86"/>
      <c r="K50" s="86"/>
      <c r="L50" s="86"/>
      <c r="M50" s="86"/>
    </row>
    <row r="51" spans="1:13" x14ac:dyDescent="0.25">
      <c r="B51" s="178" t="s">
        <v>155</v>
      </c>
      <c r="C51" s="179">
        <v>1269</v>
      </c>
      <c r="D51" s="86"/>
      <c r="E51" s="86"/>
      <c r="F51" s="86"/>
      <c r="G51" s="86"/>
      <c r="H51" s="86"/>
      <c r="I51" s="86"/>
      <c r="J51" s="86"/>
      <c r="K51" s="86"/>
      <c r="L51" s="86"/>
      <c r="M51" s="86"/>
    </row>
    <row r="52" spans="1:13" ht="15.75" thickBot="1" x14ac:dyDescent="0.3">
      <c r="B52" s="178" t="s">
        <v>156</v>
      </c>
      <c r="C52" s="180" t="s">
        <v>162</v>
      </c>
    </row>
    <row r="53" spans="1:13" x14ac:dyDescent="0.25">
      <c r="B53" s="178" t="s">
        <v>158</v>
      </c>
      <c r="C53" s="179">
        <v>21.51</v>
      </c>
    </row>
    <row r="57" spans="1:13" x14ac:dyDescent="0.25">
      <c r="A57" s="84" t="s">
        <v>20</v>
      </c>
      <c r="B57" s="84" t="s">
        <v>21</v>
      </c>
    </row>
    <row r="58" spans="1:13" ht="15.75" thickBot="1" x14ac:dyDescent="0.3"/>
    <row r="59" spans="1:13" x14ac:dyDescent="0.25">
      <c r="B59" s="482" t="s">
        <v>161</v>
      </c>
      <c r="C59" s="482"/>
    </row>
    <row r="60" spans="1:13" x14ac:dyDescent="0.25">
      <c r="B60" s="178" t="s">
        <v>155</v>
      </c>
      <c r="C60" s="179">
        <v>1088</v>
      </c>
    </row>
    <row r="61" spans="1:13" ht="15.75" thickBot="1" x14ac:dyDescent="0.3">
      <c r="B61" s="178" t="s">
        <v>156</v>
      </c>
      <c r="C61" s="182" t="s">
        <v>163</v>
      </c>
    </row>
    <row r="62" spans="1:13" x14ac:dyDescent="0.25">
      <c r="B62" s="178" t="s">
        <v>158</v>
      </c>
      <c r="C62" s="179">
        <v>18.440000000000001</v>
      </c>
    </row>
    <row r="64" spans="1:13" x14ac:dyDescent="0.25">
      <c r="B64" s="178" t="s">
        <v>164</v>
      </c>
      <c r="C64" s="179"/>
    </row>
    <row r="65" spans="1:13" x14ac:dyDescent="0.25">
      <c r="B65" s="178" t="s">
        <v>155</v>
      </c>
      <c r="C65" s="179">
        <v>1163</v>
      </c>
      <c r="G65" s="86"/>
      <c r="H65" s="86"/>
      <c r="I65" s="86"/>
      <c r="J65" s="86"/>
      <c r="K65" s="86"/>
      <c r="L65" s="86"/>
      <c r="M65" s="86"/>
    </row>
    <row r="66" spans="1:13" ht="15.75" thickBot="1" x14ac:dyDescent="0.3">
      <c r="B66" s="178" t="s">
        <v>156</v>
      </c>
      <c r="C66" s="180" t="s">
        <v>165</v>
      </c>
      <c r="D66" s="86"/>
      <c r="E66" s="86"/>
      <c r="F66" s="86"/>
      <c r="G66" s="86"/>
      <c r="H66" s="86"/>
      <c r="I66" s="86"/>
      <c r="J66" s="86"/>
      <c r="K66" s="86"/>
      <c r="L66" s="86"/>
      <c r="M66" s="86"/>
    </row>
    <row r="67" spans="1:13" x14ac:dyDescent="0.25">
      <c r="B67" s="178" t="s">
        <v>158</v>
      </c>
      <c r="C67" s="179">
        <v>19.71</v>
      </c>
      <c r="D67" s="481" t="s">
        <v>166</v>
      </c>
      <c r="E67" s="481"/>
      <c r="F67" s="481"/>
    </row>
    <row r="68" spans="1:13" x14ac:dyDescent="0.25">
      <c r="B68" s="178"/>
      <c r="C68" s="179"/>
      <c r="D68" s="183"/>
      <c r="E68" s="183"/>
      <c r="F68" s="183"/>
    </row>
    <row r="69" spans="1:13" ht="40.5" customHeight="1" x14ac:dyDescent="0.25">
      <c r="A69" s="84" t="s">
        <v>22</v>
      </c>
      <c r="B69" s="459" t="s">
        <v>24</v>
      </c>
      <c r="C69" s="459"/>
      <c r="D69" s="459"/>
      <c r="E69" s="459"/>
      <c r="F69" s="459"/>
      <c r="G69" s="459"/>
      <c r="H69" s="459"/>
      <c r="I69" s="459"/>
      <c r="J69" s="459"/>
      <c r="K69" s="459"/>
      <c r="L69" s="86"/>
      <c r="M69" s="86"/>
    </row>
    <row r="70" spans="1:13" ht="15.75" thickBot="1" x14ac:dyDescent="0.3">
      <c r="B70" s="88"/>
      <c r="C70" s="88"/>
      <c r="D70" s="88"/>
      <c r="E70" s="88"/>
      <c r="F70" s="88"/>
      <c r="G70" s="88"/>
      <c r="H70" s="88"/>
      <c r="I70" s="88"/>
      <c r="J70" s="88"/>
      <c r="K70" s="88"/>
      <c r="L70" s="86"/>
      <c r="M70" s="86"/>
    </row>
    <row r="71" spans="1:13" x14ac:dyDescent="0.25">
      <c r="B71" s="482" t="s">
        <v>167</v>
      </c>
      <c r="C71" s="482"/>
      <c r="D71" s="482"/>
      <c r="E71" s="88"/>
      <c r="F71" s="88"/>
      <c r="G71" s="88"/>
      <c r="H71" s="88"/>
      <c r="I71" s="88"/>
      <c r="J71" s="88"/>
      <c r="K71" s="88"/>
      <c r="L71" s="86"/>
      <c r="M71" s="86"/>
    </row>
    <row r="72" spans="1:13" x14ac:dyDescent="0.25">
      <c r="B72" s="178"/>
      <c r="C72" s="178"/>
      <c r="D72" s="181"/>
    </row>
    <row r="73" spans="1:13" x14ac:dyDescent="0.25">
      <c r="B73" s="178" t="s">
        <v>155</v>
      </c>
      <c r="C73" s="178"/>
      <c r="D73" s="179">
        <v>1275</v>
      </c>
    </row>
    <row r="74" spans="1:13" ht="15.75" thickBot="1" x14ac:dyDescent="0.3">
      <c r="B74" s="178" t="s">
        <v>156</v>
      </c>
      <c r="C74" s="178"/>
      <c r="D74" s="180" t="s">
        <v>157</v>
      </c>
    </row>
    <row r="75" spans="1:13" x14ac:dyDescent="0.25">
      <c r="B75" s="178" t="s">
        <v>158</v>
      </c>
      <c r="C75" s="178"/>
      <c r="D75" s="179">
        <v>21.61</v>
      </c>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row r="81" spans="2:13" x14ac:dyDescent="0.25">
      <c r="B81" s="86"/>
      <c r="C81" s="86"/>
      <c r="D81" s="86"/>
      <c r="E81" s="86"/>
      <c r="F81" s="86"/>
      <c r="G81" s="86"/>
      <c r="H81" s="86"/>
      <c r="I81" s="86"/>
      <c r="J81" s="86"/>
      <c r="K81" s="86"/>
      <c r="L81" s="86"/>
      <c r="M81" s="86"/>
    </row>
  </sheetData>
  <mergeCells count="10">
    <mergeCell ref="D67:F67"/>
    <mergeCell ref="B69:K69"/>
    <mergeCell ref="B71:D71"/>
    <mergeCell ref="A1:I1"/>
    <mergeCell ref="A3:K6"/>
    <mergeCell ref="B19:C19"/>
    <mergeCell ref="B29:C29"/>
    <mergeCell ref="B39:E39"/>
    <mergeCell ref="B49:C49"/>
    <mergeCell ref="B59:C5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EAF3F-2FE4-4ADE-80DE-AA266959F747}">
  <dimension ref="A1:K33"/>
  <sheetViews>
    <sheetView workbookViewId="0">
      <selection sqref="A1:XFD1048576"/>
    </sheetView>
  </sheetViews>
  <sheetFormatPr defaultRowHeight="15" x14ac:dyDescent="0.25"/>
  <cols>
    <col min="1" max="1" width="57.28515625" customWidth="1"/>
    <col min="3" max="3" width="11.28515625" bestFit="1" customWidth="1"/>
    <col min="257" max="257" width="57.28515625" customWidth="1"/>
    <col min="259" max="259" width="11.28515625" bestFit="1" customWidth="1"/>
    <col min="513" max="513" width="57.28515625" customWidth="1"/>
    <col min="515" max="515" width="11.28515625" bestFit="1" customWidth="1"/>
    <col min="769" max="769" width="57.28515625" customWidth="1"/>
    <col min="771" max="771" width="11.28515625" bestFit="1" customWidth="1"/>
    <col min="1025" max="1025" width="57.28515625" customWidth="1"/>
    <col min="1027" max="1027" width="11.28515625" bestFit="1" customWidth="1"/>
    <col min="1281" max="1281" width="57.28515625" customWidth="1"/>
    <col min="1283" max="1283" width="11.28515625" bestFit="1" customWidth="1"/>
    <col min="1537" max="1537" width="57.28515625" customWidth="1"/>
    <col min="1539" max="1539" width="11.28515625" bestFit="1" customWidth="1"/>
    <col min="1793" max="1793" width="57.28515625" customWidth="1"/>
    <col min="1795" max="1795" width="11.28515625" bestFit="1" customWidth="1"/>
    <col min="2049" max="2049" width="57.28515625" customWidth="1"/>
    <col min="2051" max="2051" width="11.28515625" bestFit="1" customWidth="1"/>
    <col min="2305" max="2305" width="57.28515625" customWidth="1"/>
    <col min="2307" max="2307" width="11.28515625" bestFit="1" customWidth="1"/>
    <col min="2561" max="2561" width="57.28515625" customWidth="1"/>
    <col min="2563" max="2563" width="11.28515625" bestFit="1" customWidth="1"/>
    <col min="2817" max="2817" width="57.28515625" customWidth="1"/>
    <col min="2819" max="2819" width="11.28515625" bestFit="1" customWidth="1"/>
    <col min="3073" max="3073" width="57.28515625" customWidth="1"/>
    <col min="3075" max="3075" width="11.28515625" bestFit="1" customWidth="1"/>
    <col min="3329" max="3329" width="57.28515625" customWidth="1"/>
    <col min="3331" max="3331" width="11.28515625" bestFit="1" customWidth="1"/>
    <col min="3585" max="3585" width="57.28515625" customWidth="1"/>
    <col min="3587" max="3587" width="11.28515625" bestFit="1" customWidth="1"/>
    <col min="3841" max="3841" width="57.28515625" customWidth="1"/>
    <col min="3843" max="3843" width="11.28515625" bestFit="1" customWidth="1"/>
    <col min="4097" max="4097" width="57.28515625" customWidth="1"/>
    <col min="4099" max="4099" width="11.28515625" bestFit="1" customWidth="1"/>
    <col min="4353" max="4353" width="57.28515625" customWidth="1"/>
    <col min="4355" max="4355" width="11.28515625" bestFit="1" customWidth="1"/>
    <col min="4609" max="4609" width="57.28515625" customWidth="1"/>
    <col min="4611" max="4611" width="11.28515625" bestFit="1" customWidth="1"/>
    <col min="4865" max="4865" width="57.28515625" customWidth="1"/>
    <col min="4867" max="4867" width="11.28515625" bestFit="1" customWidth="1"/>
    <col min="5121" max="5121" width="57.28515625" customWidth="1"/>
    <col min="5123" max="5123" width="11.28515625" bestFit="1" customWidth="1"/>
    <col min="5377" max="5377" width="57.28515625" customWidth="1"/>
    <col min="5379" max="5379" width="11.28515625" bestFit="1" customWidth="1"/>
    <col min="5633" max="5633" width="57.28515625" customWidth="1"/>
    <col min="5635" max="5635" width="11.28515625" bestFit="1" customWidth="1"/>
    <col min="5889" max="5889" width="57.28515625" customWidth="1"/>
    <col min="5891" max="5891" width="11.28515625" bestFit="1" customWidth="1"/>
    <col min="6145" max="6145" width="57.28515625" customWidth="1"/>
    <col min="6147" max="6147" width="11.28515625" bestFit="1" customWidth="1"/>
    <col min="6401" max="6401" width="57.28515625" customWidth="1"/>
    <col min="6403" max="6403" width="11.28515625" bestFit="1" customWidth="1"/>
    <col min="6657" max="6657" width="57.28515625" customWidth="1"/>
    <col min="6659" max="6659" width="11.28515625" bestFit="1" customWidth="1"/>
    <col min="6913" max="6913" width="57.28515625" customWidth="1"/>
    <col min="6915" max="6915" width="11.28515625" bestFit="1" customWidth="1"/>
    <col min="7169" max="7169" width="57.28515625" customWidth="1"/>
    <col min="7171" max="7171" width="11.28515625" bestFit="1" customWidth="1"/>
    <col min="7425" max="7425" width="57.28515625" customWidth="1"/>
    <col min="7427" max="7427" width="11.28515625" bestFit="1" customWidth="1"/>
    <col min="7681" max="7681" width="57.28515625" customWidth="1"/>
    <col min="7683" max="7683" width="11.28515625" bestFit="1" customWidth="1"/>
    <col min="7937" max="7937" width="57.28515625" customWidth="1"/>
    <col min="7939" max="7939" width="11.28515625" bestFit="1" customWidth="1"/>
    <col min="8193" max="8193" width="57.28515625" customWidth="1"/>
    <col min="8195" max="8195" width="11.28515625" bestFit="1" customWidth="1"/>
    <col min="8449" max="8449" width="57.28515625" customWidth="1"/>
    <col min="8451" max="8451" width="11.28515625" bestFit="1" customWidth="1"/>
    <col min="8705" max="8705" width="57.28515625" customWidth="1"/>
    <col min="8707" max="8707" width="11.28515625" bestFit="1" customWidth="1"/>
    <col min="8961" max="8961" width="57.28515625" customWidth="1"/>
    <col min="8963" max="8963" width="11.28515625" bestFit="1" customWidth="1"/>
    <col min="9217" max="9217" width="57.28515625" customWidth="1"/>
    <col min="9219" max="9219" width="11.28515625" bestFit="1" customWidth="1"/>
    <col min="9473" max="9473" width="57.28515625" customWidth="1"/>
    <col min="9475" max="9475" width="11.28515625" bestFit="1" customWidth="1"/>
    <col min="9729" max="9729" width="57.28515625" customWidth="1"/>
    <col min="9731" max="9731" width="11.28515625" bestFit="1" customWidth="1"/>
    <col min="9985" max="9985" width="57.28515625" customWidth="1"/>
    <col min="9987" max="9987" width="11.28515625" bestFit="1" customWidth="1"/>
    <col min="10241" max="10241" width="57.28515625" customWidth="1"/>
    <col min="10243" max="10243" width="11.28515625" bestFit="1" customWidth="1"/>
    <col min="10497" max="10497" width="57.28515625" customWidth="1"/>
    <col min="10499" max="10499" width="11.28515625" bestFit="1" customWidth="1"/>
    <col min="10753" max="10753" width="57.28515625" customWidth="1"/>
    <col min="10755" max="10755" width="11.28515625" bestFit="1" customWidth="1"/>
    <col min="11009" max="11009" width="57.28515625" customWidth="1"/>
    <col min="11011" max="11011" width="11.28515625" bestFit="1" customWidth="1"/>
    <col min="11265" max="11265" width="57.28515625" customWidth="1"/>
    <col min="11267" max="11267" width="11.28515625" bestFit="1" customWidth="1"/>
    <col min="11521" max="11521" width="57.28515625" customWidth="1"/>
    <col min="11523" max="11523" width="11.28515625" bestFit="1" customWidth="1"/>
    <col min="11777" max="11777" width="57.28515625" customWidth="1"/>
    <col min="11779" max="11779" width="11.28515625" bestFit="1" customWidth="1"/>
    <col min="12033" max="12033" width="57.28515625" customWidth="1"/>
    <col min="12035" max="12035" width="11.28515625" bestFit="1" customWidth="1"/>
    <col min="12289" max="12289" width="57.28515625" customWidth="1"/>
    <col min="12291" max="12291" width="11.28515625" bestFit="1" customWidth="1"/>
    <col min="12545" max="12545" width="57.28515625" customWidth="1"/>
    <col min="12547" max="12547" width="11.28515625" bestFit="1" customWidth="1"/>
    <col min="12801" max="12801" width="57.28515625" customWidth="1"/>
    <col min="12803" max="12803" width="11.28515625" bestFit="1" customWidth="1"/>
    <col min="13057" max="13057" width="57.28515625" customWidth="1"/>
    <col min="13059" max="13059" width="11.28515625" bestFit="1" customWidth="1"/>
    <col min="13313" max="13313" width="57.28515625" customWidth="1"/>
    <col min="13315" max="13315" width="11.28515625" bestFit="1" customWidth="1"/>
    <col min="13569" max="13569" width="57.28515625" customWidth="1"/>
    <col min="13571" max="13571" width="11.28515625" bestFit="1" customWidth="1"/>
    <col min="13825" max="13825" width="57.28515625" customWidth="1"/>
    <col min="13827" max="13827" width="11.28515625" bestFit="1" customWidth="1"/>
    <col min="14081" max="14081" width="57.28515625" customWidth="1"/>
    <col min="14083" max="14083" width="11.28515625" bestFit="1" customWidth="1"/>
    <col min="14337" max="14337" width="57.28515625" customWidth="1"/>
    <col min="14339" max="14339" width="11.28515625" bestFit="1" customWidth="1"/>
    <col min="14593" max="14593" width="57.28515625" customWidth="1"/>
    <col min="14595" max="14595" width="11.28515625" bestFit="1" customWidth="1"/>
    <col min="14849" max="14849" width="57.28515625" customWidth="1"/>
    <col min="14851" max="14851" width="11.28515625" bestFit="1" customWidth="1"/>
    <col min="15105" max="15105" width="57.28515625" customWidth="1"/>
    <col min="15107" max="15107" width="11.28515625" bestFit="1" customWidth="1"/>
    <col min="15361" max="15361" width="57.28515625" customWidth="1"/>
    <col min="15363" max="15363" width="11.28515625" bestFit="1" customWidth="1"/>
    <col min="15617" max="15617" width="57.28515625" customWidth="1"/>
    <col min="15619" max="15619" width="11.28515625" bestFit="1" customWidth="1"/>
    <col min="15873" max="15873" width="57.28515625" customWidth="1"/>
    <col min="15875" max="15875" width="11.28515625" bestFit="1" customWidth="1"/>
    <col min="16129" max="16129" width="57.28515625" customWidth="1"/>
    <col min="16131" max="16131" width="11.28515625" bestFit="1" customWidth="1"/>
  </cols>
  <sheetData>
    <row r="1" spans="1:11" ht="15.75" x14ac:dyDescent="0.25">
      <c r="A1" s="184" t="s">
        <v>1151</v>
      </c>
    </row>
    <row r="2" spans="1:11" ht="15.75" x14ac:dyDescent="0.25">
      <c r="A2" s="185"/>
    </row>
    <row r="3" spans="1:11" ht="15.75" x14ac:dyDescent="0.25">
      <c r="A3" s="184" t="s">
        <v>1152</v>
      </c>
      <c r="C3" s="186"/>
      <c r="D3" s="186"/>
      <c r="E3" s="186"/>
      <c r="F3" s="186"/>
      <c r="G3" s="186"/>
      <c r="H3" s="186"/>
      <c r="I3" s="186"/>
      <c r="J3" s="186"/>
      <c r="K3" s="186"/>
    </row>
    <row r="4" spans="1:11" ht="15.75" x14ac:dyDescent="0.25">
      <c r="A4" s="185" t="s">
        <v>1153</v>
      </c>
      <c r="C4" s="186"/>
      <c r="D4" s="186"/>
      <c r="E4" s="186"/>
      <c r="F4" s="186"/>
      <c r="G4" s="186"/>
      <c r="H4" s="186"/>
      <c r="I4" s="186"/>
      <c r="J4" s="186"/>
      <c r="K4" s="186"/>
    </row>
    <row r="5" spans="1:11" ht="15.75" x14ac:dyDescent="0.25">
      <c r="A5" s="185" t="s">
        <v>1154</v>
      </c>
      <c r="C5" s="186"/>
      <c r="D5" s="186"/>
      <c r="E5" s="186"/>
      <c r="F5" s="186"/>
      <c r="G5" s="186"/>
      <c r="H5" s="186"/>
      <c r="I5" s="186"/>
      <c r="J5" s="186"/>
      <c r="K5" s="186"/>
    </row>
    <row r="6" spans="1:11" ht="15.75" x14ac:dyDescent="0.25">
      <c r="A6" s="185" t="s">
        <v>963</v>
      </c>
      <c r="C6" s="186"/>
      <c r="D6" s="186"/>
      <c r="E6" s="186"/>
      <c r="F6" s="186"/>
      <c r="G6" s="186"/>
      <c r="H6" s="186"/>
      <c r="I6" s="186"/>
      <c r="J6" s="186"/>
      <c r="K6" s="186"/>
    </row>
    <row r="7" spans="1:11" ht="15.75" x14ac:dyDescent="0.25">
      <c r="A7" s="185" t="s">
        <v>1155</v>
      </c>
      <c r="C7" s="186"/>
      <c r="D7" s="186"/>
      <c r="E7" s="186"/>
      <c r="F7" s="186"/>
      <c r="G7" s="186"/>
      <c r="H7" s="186"/>
      <c r="I7" s="186"/>
      <c r="J7" s="186"/>
      <c r="K7" s="186"/>
    </row>
    <row r="8" spans="1:11" ht="15.75" x14ac:dyDescent="0.25">
      <c r="A8" s="185" t="s">
        <v>1156</v>
      </c>
      <c r="C8" s="186"/>
      <c r="D8" s="186"/>
      <c r="E8" s="186"/>
      <c r="F8" s="186"/>
      <c r="G8" s="186"/>
      <c r="H8" s="186"/>
      <c r="I8" s="186"/>
      <c r="J8" s="186"/>
      <c r="K8" s="186"/>
    </row>
    <row r="9" spans="1:11" ht="15.75" x14ac:dyDescent="0.25">
      <c r="A9" s="185"/>
      <c r="C9" s="186"/>
      <c r="D9" s="186"/>
      <c r="E9" s="186"/>
      <c r="F9" s="186"/>
      <c r="G9" s="186"/>
      <c r="H9" s="186"/>
      <c r="I9" s="186"/>
      <c r="J9" s="186"/>
      <c r="K9" s="186"/>
    </row>
    <row r="10" spans="1:11" ht="15.75" x14ac:dyDescent="0.25">
      <c r="A10" s="184" t="s">
        <v>1152</v>
      </c>
    </row>
    <row r="11" spans="1:11" ht="15.75" x14ac:dyDescent="0.25">
      <c r="A11" s="185" t="s">
        <v>1157</v>
      </c>
    </row>
    <row r="12" spans="1:11" ht="15.75" x14ac:dyDescent="0.25">
      <c r="A12" s="185" t="s">
        <v>1158</v>
      </c>
    </row>
    <row r="13" spans="1:11" ht="15.75" x14ac:dyDescent="0.25">
      <c r="A13" s="185" t="s">
        <v>981</v>
      </c>
    </row>
    <row r="14" spans="1:11" ht="15.75" x14ac:dyDescent="0.25">
      <c r="A14" s="185" t="s">
        <v>1155</v>
      </c>
    </row>
    <row r="15" spans="1:11" ht="15.75" x14ac:dyDescent="0.25">
      <c r="A15" s="187" t="s">
        <v>1159</v>
      </c>
    </row>
    <row r="16" spans="1:11" ht="15.75" x14ac:dyDescent="0.25">
      <c r="A16" s="185"/>
    </row>
    <row r="17" spans="1:1" ht="15.75" x14ac:dyDescent="0.25">
      <c r="A17" s="184" t="s">
        <v>1160</v>
      </c>
    </row>
    <row r="18" spans="1:1" ht="15.75" x14ac:dyDescent="0.25">
      <c r="A18" s="185" t="s">
        <v>1161</v>
      </c>
    </row>
    <row r="19" spans="1:1" ht="15.75" x14ac:dyDescent="0.25">
      <c r="A19" s="185" t="s">
        <v>1162</v>
      </c>
    </row>
    <row r="20" spans="1:1" ht="15.75" x14ac:dyDescent="0.25">
      <c r="A20" s="185" t="s">
        <v>1163</v>
      </c>
    </row>
    <row r="21" spans="1:1" ht="15.75" x14ac:dyDescent="0.25">
      <c r="A21" s="185" t="s">
        <v>1164</v>
      </c>
    </row>
    <row r="22" spans="1:1" ht="15.75" x14ac:dyDescent="0.25">
      <c r="A22" s="185" t="s">
        <v>1165</v>
      </c>
    </row>
    <row r="23" spans="1:1" ht="15.75" x14ac:dyDescent="0.25">
      <c r="A23" s="185" t="s">
        <v>1155</v>
      </c>
    </row>
    <row r="24" spans="1:1" ht="15.75" x14ac:dyDescent="0.25">
      <c r="A24" s="185" t="s">
        <v>1166</v>
      </c>
    </row>
    <row r="25" spans="1:1" ht="15.75" x14ac:dyDescent="0.25">
      <c r="A25" s="188"/>
    </row>
    <row r="26" spans="1:1" ht="15.75" x14ac:dyDescent="0.25">
      <c r="A26" s="184" t="s">
        <v>1167</v>
      </c>
    </row>
    <row r="27" spans="1:1" ht="15.75" x14ac:dyDescent="0.25">
      <c r="A27" s="185" t="s">
        <v>1168</v>
      </c>
    </row>
    <row r="28" spans="1:1" ht="15.75" x14ac:dyDescent="0.25">
      <c r="A28" s="185" t="s">
        <v>1169</v>
      </c>
    </row>
    <row r="29" spans="1:1" ht="15.75" x14ac:dyDescent="0.25">
      <c r="A29" s="185" t="s">
        <v>1170</v>
      </c>
    </row>
    <row r="30" spans="1:1" ht="15.75" x14ac:dyDescent="0.25">
      <c r="A30" s="185" t="s">
        <v>1171</v>
      </c>
    </row>
    <row r="31" spans="1:1" ht="15.75" x14ac:dyDescent="0.25">
      <c r="A31" s="185" t="s">
        <v>1165</v>
      </c>
    </row>
    <row r="32" spans="1:1" ht="15.75" x14ac:dyDescent="0.25">
      <c r="A32" s="185" t="s">
        <v>1155</v>
      </c>
    </row>
    <row r="33" spans="1:1" ht="15.75" x14ac:dyDescent="0.25">
      <c r="A33" s="187" t="s">
        <v>1172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7DD20-33EA-491F-925F-6CC9C3394624}">
  <dimension ref="A1:M86"/>
  <sheetViews>
    <sheetView workbookViewId="0">
      <selection sqref="A1:XFD1048576"/>
    </sheetView>
  </sheetViews>
  <sheetFormatPr defaultColWidth="9.140625" defaultRowHeight="15" x14ac:dyDescent="0.25"/>
  <cols>
    <col min="1" max="16384" width="9.140625" style="84"/>
  </cols>
  <sheetData>
    <row r="1" spans="1:13" ht="21" x14ac:dyDescent="0.35">
      <c r="A1" s="457" t="s">
        <v>1173</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5" x14ac:dyDescent="0.25">
      <c r="A17" s="84" t="s">
        <v>10</v>
      </c>
      <c r="B17" s="84" t="s">
        <v>11</v>
      </c>
    </row>
    <row r="19" spans="1:5" x14ac:dyDescent="0.25">
      <c r="B19" s="14" t="s">
        <v>758</v>
      </c>
      <c r="C19" s="14"/>
      <c r="D19" s="14"/>
      <c r="E19" s="13"/>
    </row>
    <row r="20" spans="1:5" x14ac:dyDescent="0.25">
      <c r="B20" s="14" t="s">
        <v>759</v>
      </c>
      <c r="C20" s="14"/>
      <c r="D20" s="14"/>
      <c r="E20" s="13"/>
    </row>
    <row r="21" spans="1:5" x14ac:dyDescent="0.25">
      <c r="B21" s="14" t="s">
        <v>760</v>
      </c>
      <c r="C21" s="14"/>
      <c r="D21" s="14"/>
      <c r="E21" s="13"/>
    </row>
    <row r="22" spans="1:5" x14ac:dyDescent="0.25">
      <c r="B22" s="14" t="s">
        <v>761</v>
      </c>
      <c r="C22" s="14"/>
      <c r="D22" s="14"/>
      <c r="E22" s="13"/>
    </row>
    <row r="23" spans="1:5" x14ac:dyDescent="0.25">
      <c r="B23" s="14" t="s">
        <v>759</v>
      </c>
      <c r="C23" s="14"/>
      <c r="D23" s="14"/>
      <c r="E23" s="13"/>
    </row>
    <row r="24" spans="1:5" x14ac:dyDescent="0.25">
      <c r="B24" s="14" t="s">
        <v>762</v>
      </c>
      <c r="C24" s="14"/>
      <c r="D24" s="14"/>
      <c r="E24" s="13"/>
    </row>
    <row r="25" spans="1:5" x14ac:dyDescent="0.25">
      <c r="B25" s="58" t="s">
        <v>763</v>
      </c>
      <c r="C25" s="5"/>
      <c r="D25" s="5"/>
      <c r="E25" s="13"/>
    </row>
    <row r="27" spans="1:5" x14ac:dyDescent="0.25">
      <c r="A27" s="84" t="s">
        <v>12</v>
      </c>
      <c r="B27" s="84" t="s">
        <v>13</v>
      </c>
    </row>
    <row r="29" spans="1:5" x14ac:dyDescent="0.25">
      <c r="B29" s="14" t="s">
        <v>764</v>
      </c>
      <c r="C29" s="14"/>
      <c r="D29" s="14"/>
      <c r="E29" s="13"/>
    </row>
    <row r="30" spans="1:5" x14ac:dyDescent="0.25">
      <c r="B30" s="14" t="s">
        <v>759</v>
      </c>
      <c r="C30" s="14"/>
      <c r="D30" s="14"/>
      <c r="E30" s="13"/>
    </row>
    <row r="31" spans="1:5" x14ac:dyDescent="0.25">
      <c r="B31" s="14" t="s">
        <v>765</v>
      </c>
      <c r="C31" s="14"/>
      <c r="D31" s="14"/>
      <c r="E31" s="13"/>
    </row>
    <row r="32" spans="1:5" x14ac:dyDescent="0.25">
      <c r="B32" s="14" t="s">
        <v>761</v>
      </c>
      <c r="C32" s="14"/>
      <c r="D32" s="14"/>
      <c r="E32" s="13"/>
    </row>
    <row r="33" spans="1:5" x14ac:dyDescent="0.25">
      <c r="B33" s="14" t="s">
        <v>759</v>
      </c>
      <c r="C33" s="14"/>
      <c r="D33" s="14"/>
      <c r="E33" s="13"/>
    </row>
    <row r="34" spans="1:5" x14ac:dyDescent="0.25">
      <c r="B34" s="14" t="s">
        <v>762</v>
      </c>
      <c r="C34" s="14"/>
      <c r="D34" s="14"/>
      <c r="E34" s="13"/>
    </row>
    <row r="35" spans="1:5" x14ac:dyDescent="0.25">
      <c r="B35" s="58" t="s">
        <v>766</v>
      </c>
      <c r="C35" s="5"/>
      <c r="D35" s="5"/>
      <c r="E35" s="13"/>
    </row>
    <row r="37" spans="1:5" x14ac:dyDescent="0.25">
      <c r="A37" s="84" t="s">
        <v>15</v>
      </c>
      <c r="B37" s="84" t="s">
        <v>16</v>
      </c>
    </row>
    <row r="39" spans="1:5" x14ac:dyDescent="0.25">
      <c r="B39" s="14" t="s">
        <v>767</v>
      </c>
      <c r="C39" s="14"/>
      <c r="D39" s="14"/>
      <c r="E39" s="14"/>
    </row>
    <row r="40" spans="1:5" x14ac:dyDescent="0.25">
      <c r="B40" s="14" t="s">
        <v>768</v>
      </c>
      <c r="C40" s="14"/>
      <c r="D40" s="14"/>
      <c r="E40" s="14"/>
    </row>
    <row r="41" spans="1:5" x14ac:dyDescent="0.25">
      <c r="B41" s="14" t="s">
        <v>769</v>
      </c>
      <c r="C41" s="14"/>
      <c r="D41" s="14"/>
      <c r="E41" s="14"/>
    </row>
    <row r="42" spans="1:5" x14ac:dyDescent="0.25">
      <c r="B42" s="14" t="s">
        <v>770</v>
      </c>
      <c r="C42" s="14"/>
      <c r="D42" s="14"/>
      <c r="E42" s="14"/>
    </row>
    <row r="43" spans="1:5" x14ac:dyDescent="0.25">
      <c r="B43" s="14" t="s">
        <v>771</v>
      </c>
      <c r="C43" s="14"/>
      <c r="D43" s="14"/>
      <c r="E43" s="14"/>
    </row>
    <row r="44" spans="1:5" x14ac:dyDescent="0.25">
      <c r="B44" s="14" t="s">
        <v>772</v>
      </c>
      <c r="C44" s="14"/>
      <c r="D44" s="14"/>
      <c r="E44" s="14"/>
    </row>
    <row r="45" spans="1:5" x14ac:dyDescent="0.25">
      <c r="B45" s="14" t="s">
        <v>768</v>
      </c>
      <c r="C45" s="14"/>
      <c r="D45" s="14"/>
      <c r="E45" s="14"/>
    </row>
    <row r="46" spans="1:5" x14ac:dyDescent="0.25">
      <c r="B46" s="14" t="s">
        <v>773</v>
      </c>
      <c r="C46" s="14"/>
      <c r="D46" s="14"/>
      <c r="E46" s="14"/>
    </row>
    <row r="47" spans="1:5" x14ac:dyDescent="0.25">
      <c r="B47" s="14" t="s">
        <v>774</v>
      </c>
      <c r="C47" s="14"/>
      <c r="D47" s="14"/>
      <c r="E47" s="14"/>
    </row>
    <row r="48" spans="1:5" x14ac:dyDescent="0.25">
      <c r="B48" s="14" t="s">
        <v>771</v>
      </c>
      <c r="C48" s="14"/>
      <c r="D48" s="14"/>
      <c r="E48" s="14"/>
    </row>
    <row r="50" spans="1:13" x14ac:dyDescent="0.25">
      <c r="A50" s="84" t="s">
        <v>17</v>
      </c>
      <c r="B50" s="84" t="s">
        <v>18</v>
      </c>
    </row>
    <row r="52" spans="1:13" x14ac:dyDescent="0.25">
      <c r="B52" s="14" t="s">
        <v>775</v>
      </c>
      <c r="C52" s="14"/>
      <c r="D52" s="14"/>
      <c r="E52" s="14"/>
      <c r="F52" s="86"/>
      <c r="G52" s="86"/>
      <c r="H52" s="86"/>
      <c r="I52" s="86"/>
      <c r="J52" s="86"/>
      <c r="K52" s="86"/>
      <c r="L52" s="86"/>
      <c r="M52" s="86"/>
    </row>
    <row r="53" spans="1:13" x14ac:dyDescent="0.25">
      <c r="B53" s="14" t="s">
        <v>768</v>
      </c>
      <c r="C53" s="14"/>
      <c r="D53" s="14"/>
      <c r="E53" s="14"/>
      <c r="F53" s="86"/>
      <c r="G53" s="86"/>
      <c r="H53" s="86"/>
      <c r="I53" s="86"/>
      <c r="J53" s="86"/>
      <c r="K53" s="86"/>
      <c r="L53" s="86"/>
      <c r="M53" s="86"/>
    </row>
    <row r="54" spans="1:13" x14ac:dyDescent="0.25">
      <c r="B54" s="14" t="s">
        <v>776</v>
      </c>
      <c r="C54" s="14"/>
      <c r="D54" s="14"/>
      <c r="E54" s="14"/>
      <c r="F54" s="86"/>
      <c r="G54" s="86"/>
      <c r="H54" s="86"/>
      <c r="I54" s="86"/>
      <c r="J54" s="86"/>
      <c r="K54" s="86"/>
      <c r="L54" s="86"/>
      <c r="M54" s="86"/>
    </row>
    <row r="55" spans="1:13" x14ac:dyDescent="0.25">
      <c r="B55" s="14" t="s">
        <v>777</v>
      </c>
      <c r="C55" s="14"/>
      <c r="D55" s="14"/>
      <c r="E55" s="13"/>
    </row>
    <row r="56" spans="1:13" x14ac:dyDescent="0.25">
      <c r="B56" s="14" t="s">
        <v>759</v>
      </c>
      <c r="C56" s="14"/>
      <c r="D56" s="14"/>
      <c r="E56" s="13"/>
    </row>
    <row r="57" spans="1:13" x14ac:dyDescent="0.25">
      <c r="B57" s="14" t="s">
        <v>778</v>
      </c>
      <c r="C57" s="14"/>
      <c r="D57" s="14"/>
      <c r="E57" s="13"/>
    </row>
    <row r="58" spans="1:13" x14ac:dyDescent="0.25">
      <c r="B58" s="58" t="s">
        <v>779</v>
      </c>
      <c r="C58" s="5"/>
      <c r="D58" s="5"/>
      <c r="E58" s="13"/>
    </row>
    <row r="60" spans="1:13" x14ac:dyDescent="0.25">
      <c r="A60" s="84" t="s">
        <v>20</v>
      </c>
      <c r="B60" s="84" t="s">
        <v>21</v>
      </c>
    </row>
    <row r="62" spans="1:13" x14ac:dyDescent="0.25">
      <c r="B62" s="13" t="s">
        <v>780</v>
      </c>
      <c r="C62" s="13"/>
      <c r="D62" s="13"/>
      <c r="E62" s="13"/>
    </row>
    <row r="63" spans="1:13" x14ac:dyDescent="0.25">
      <c r="B63" s="13" t="s">
        <v>768</v>
      </c>
      <c r="C63" s="13"/>
      <c r="D63" s="13"/>
      <c r="E63" s="13"/>
    </row>
    <row r="64" spans="1:13" x14ac:dyDescent="0.25">
      <c r="B64" s="13" t="s">
        <v>781</v>
      </c>
      <c r="C64" s="13"/>
      <c r="D64" s="13"/>
      <c r="E64" s="13"/>
    </row>
    <row r="65" spans="1:13" x14ac:dyDescent="0.25">
      <c r="B65" s="13" t="s">
        <v>782</v>
      </c>
      <c r="C65" s="13"/>
      <c r="D65" s="13"/>
      <c r="E65" s="13"/>
    </row>
    <row r="66" spans="1:13" x14ac:dyDescent="0.25">
      <c r="B66" s="13" t="s">
        <v>771</v>
      </c>
      <c r="C66" s="13"/>
      <c r="D66" s="13"/>
      <c r="E66" s="13"/>
    </row>
    <row r="67" spans="1:13" x14ac:dyDescent="0.25">
      <c r="B67" s="13" t="s">
        <v>783</v>
      </c>
      <c r="C67" s="13"/>
      <c r="D67" s="13"/>
      <c r="E67" s="13"/>
    </row>
    <row r="68" spans="1:13" x14ac:dyDescent="0.25">
      <c r="B68" s="13" t="s">
        <v>768</v>
      </c>
      <c r="C68" s="13"/>
      <c r="D68" s="13"/>
      <c r="E68" s="13"/>
    </row>
    <row r="69" spans="1:13" x14ac:dyDescent="0.25">
      <c r="B69" s="14" t="s">
        <v>784</v>
      </c>
      <c r="C69" s="14"/>
      <c r="D69" s="14"/>
      <c r="E69" s="14"/>
    </row>
    <row r="70" spans="1:13" x14ac:dyDescent="0.25">
      <c r="B70" s="14" t="s">
        <v>785</v>
      </c>
      <c r="C70" s="14"/>
      <c r="D70" s="14"/>
      <c r="E70" s="14"/>
    </row>
    <row r="71" spans="1:13" x14ac:dyDescent="0.25">
      <c r="B71" s="14" t="s">
        <v>771</v>
      </c>
      <c r="C71" s="14"/>
      <c r="D71" s="14"/>
      <c r="E71" s="14"/>
      <c r="F71" s="86"/>
      <c r="G71" s="86"/>
      <c r="H71" s="86"/>
      <c r="I71" s="86"/>
      <c r="J71" s="86"/>
      <c r="K71" s="86"/>
      <c r="L71" s="86"/>
      <c r="M71" s="86"/>
    </row>
    <row r="72" spans="1:13" x14ac:dyDescent="0.25">
      <c r="B72" s="86"/>
      <c r="C72" s="86"/>
      <c r="D72" s="86"/>
      <c r="E72" s="86"/>
      <c r="F72" s="86"/>
      <c r="G72" s="86"/>
      <c r="H72" s="86"/>
      <c r="I72" s="86"/>
      <c r="J72" s="86"/>
      <c r="K72" s="86"/>
      <c r="L72" s="86"/>
      <c r="M72" s="86"/>
    </row>
    <row r="73" spans="1:13" x14ac:dyDescent="0.25">
      <c r="A73" s="84" t="s">
        <v>22</v>
      </c>
      <c r="B73" s="84" t="s">
        <v>23</v>
      </c>
    </row>
    <row r="74" spans="1:13" ht="40.5" customHeight="1" x14ac:dyDescent="0.25">
      <c r="B74" s="459" t="s">
        <v>24</v>
      </c>
      <c r="C74" s="459"/>
      <c r="D74" s="459"/>
      <c r="E74" s="459"/>
      <c r="F74" s="459"/>
      <c r="G74" s="459"/>
      <c r="H74" s="459"/>
      <c r="I74" s="459"/>
      <c r="J74" s="459"/>
      <c r="K74" s="459"/>
      <c r="L74" s="86"/>
      <c r="M74" s="86"/>
    </row>
    <row r="75" spans="1:13" x14ac:dyDescent="0.25">
      <c r="B75" s="88"/>
      <c r="C75" s="88"/>
      <c r="D75" s="88"/>
      <c r="E75" s="88"/>
      <c r="F75" s="88"/>
      <c r="G75" s="88"/>
      <c r="H75" s="88"/>
      <c r="I75" s="88"/>
      <c r="J75" s="88"/>
      <c r="K75" s="88"/>
      <c r="L75" s="86"/>
      <c r="M75" s="86"/>
    </row>
    <row r="76" spans="1:13" x14ac:dyDescent="0.25">
      <c r="B76" s="14" t="s">
        <v>1174</v>
      </c>
      <c r="C76" s="14"/>
      <c r="D76" s="14"/>
      <c r="E76" s="14"/>
      <c r="F76" s="14"/>
      <c r="G76" s="14"/>
      <c r="H76" s="14"/>
      <c r="I76" s="14"/>
      <c r="J76" s="14"/>
      <c r="K76" s="14"/>
      <c r="L76" s="86"/>
      <c r="M76" s="86"/>
    </row>
    <row r="77" spans="1:13" x14ac:dyDescent="0.25">
      <c r="B77" s="14" t="s">
        <v>8</v>
      </c>
      <c r="C77" s="14"/>
      <c r="D77" s="14"/>
      <c r="E77" s="14"/>
      <c r="F77" s="14"/>
      <c r="G77" s="14"/>
      <c r="H77" s="14"/>
      <c r="I77" s="14"/>
      <c r="J77" s="14"/>
      <c r="K77" s="14"/>
    </row>
    <row r="78" spans="1:13" x14ac:dyDescent="0.25">
      <c r="B78" s="58" t="s">
        <v>786</v>
      </c>
      <c r="C78" s="59">
        <v>14.83</v>
      </c>
      <c r="D78" s="59"/>
      <c r="E78" s="13"/>
      <c r="F78" s="13"/>
      <c r="G78" s="13"/>
      <c r="H78" s="13"/>
      <c r="I78" s="13"/>
      <c r="J78" s="13"/>
      <c r="K78" s="13"/>
    </row>
    <row r="79" spans="1:13" x14ac:dyDescent="0.25">
      <c r="B79" s="14" t="s">
        <v>1175</v>
      </c>
      <c r="C79" s="14"/>
      <c r="D79" s="14"/>
      <c r="E79" s="13"/>
      <c r="F79" s="13"/>
      <c r="G79" s="13"/>
      <c r="H79" s="13"/>
      <c r="I79" s="13"/>
      <c r="J79" s="13"/>
      <c r="K79" s="13"/>
    </row>
    <row r="80" spans="1:13" x14ac:dyDescent="0.25">
      <c r="B80" s="14" t="s">
        <v>8</v>
      </c>
      <c r="C80" s="14"/>
      <c r="D80" s="14"/>
      <c r="E80" s="13"/>
      <c r="F80" s="13"/>
      <c r="G80" s="13"/>
      <c r="H80" s="13"/>
      <c r="I80" s="13"/>
      <c r="J80" s="13"/>
      <c r="K80" s="13"/>
    </row>
    <row r="81" spans="2:13" x14ac:dyDescent="0.25">
      <c r="B81" s="58" t="s">
        <v>787</v>
      </c>
      <c r="C81" s="59"/>
      <c r="D81" s="59"/>
      <c r="E81" s="14"/>
      <c r="F81" s="14"/>
      <c r="G81" s="14"/>
      <c r="H81" s="14"/>
      <c r="I81" s="14"/>
      <c r="J81" s="14"/>
      <c r="K81" s="14"/>
    </row>
    <row r="82" spans="2:13" x14ac:dyDescent="0.25">
      <c r="B82" s="58" t="s">
        <v>788</v>
      </c>
      <c r="C82" s="59">
        <v>16.95</v>
      </c>
      <c r="D82" s="14"/>
      <c r="E82" s="14"/>
      <c r="F82" s="14"/>
      <c r="G82" s="14"/>
      <c r="H82" s="14"/>
      <c r="I82" s="14"/>
      <c r="J82" s="14"/>
      <c r="K82" s="14"/>
    </row>
    <row r="83" spans="2:13" x14ac:dyDescent="0.25">
      <c r="B83" s="13"/>
      <c r="C83" s="13"/>
      <c r="D83" s="13"/>
      <c r="E83" s="13"/>
      <c r="F83" s="13"/>
      <c r="G83" s="13"/>
      <c r="H83" s="13"/>
      <c r="I83" s="13"/>
      <c r="J83" s="13"/>
      <c r="K83" s="13"/>
    </row>
    <row r="84" spans="2:13" x14ac:dyDescent="0.25">
      <c r="B84" s="86"/>
      <c r="C84" s="86"/>
      <c r="D84" s="86"/>
      <c r="E84" s="86"/>
      <c r="F84" s="86"/>
      <c r="G84" s="86"/>
      <c r="H84" s="86"/>
      <c r="I84" s="86"/>
      <c r="J84" s="86"/>
      <c r="K84" s="86"/>
      <c r="L84" s="86"/>
      <c r="M84" s="86"/>
    </row>
    <row r="85" spans="2:13" x14ac:dyDescent="0.25">
      <c r="B85" s="86"/>
      <c r="C85" s="86"/>
      <c r="D85" s="86"/>
      <c r="E85" s="86"/>
      <c r="F85" s="86"/>
      <c r="G85" s="86"/>
      <c r="H85" s="86"/>
      <c r="I85" s="86"/>
      <c r="J85" s="86"/>
      <c r="K85" s="86"/>
      <c r="L85" s="86"/>
      <c r="M85" s="86"/>
    </row>
    <row r="86" spans="2:13" x14ac:dyDescent="0.25">
      <c r="B86" s="86"/>
      <c r="C86" s="86"/>
      <c r="D86" s="86"/>
      <c r="E86" s="86"/>
      <c r="F86" s="86"/>
      <c r="G86" s="86"/>
      <c r="H86" s="86"/>
      <c r="I86" s="86"/>
      <c r="J86" s="86"/>
      <c r="K86" s="86"/>
      <c r="L86" s="86"/>
      <c r="M86" s="86"/>
    </row>
  </sheetData>
  <mergeCells count="3">
    <mergeCell ref="A1:I1"/>
    <mergeCell ref="A3:K6"/>
    <mergeCell ref="B74:K7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83DF4-256C-4D7E-982E-905B48BA7B81}">
  <dimension ref="A1:M96"/>
  <sheetViews>
    <sheetView topLeftCell="A36" workbookViewId="0">
      <selection activeCell="H15" sqref="H15"/>
    </sheetView>
  </sheetViews>
  <sheetFormatPr defaultColWidth="9.140625" defaultRowHeight="15" x14ac:dyDescent="0.25"/>
  <cols>
    <col min="1" max="2" width="9.140625" style="84"/>
    <col min="3" max="3" width="25.85546875" style="84" bestFit="1" customWidth="1"/>
    <col min="4" max="4" width="9.28515625" style="84" bestFit="1" customWidth="1"/>
    <col min="5" max="5" width="9.140625" style="84"/>
    <col min="6" max="6" width="22.42578125" style="84" bestFit="1" customWidth="1"/>
    <col min="7" max="16384" width="9.140625" style="84"/>
  </cols>
  <sheetData>
    <row r="1" spans="1:13" ht="21" x14ac:dyDescent="0.35">
      <c r="A1" s="457" t="s">
        <v>1176</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4" x14ac:dyDescent="0.25">
      <c r="A17" s="84" t="s">
        <v>10</v>
      </c>
      <c r="B17" s="84" t="s">
        <v>11</v>
      </c>
    </row>
    <row r="19" spans="1:4" x14ac:dyDescent="0.25">
      <c r="C19" s="84" t="s">
        <v>168</v>
      </c>
    </row>
    <row r="20" spans="1:4" x14ac:dyDescent="0.25">
      <c r="C20" s="189" t="s">
        <v>169</v>
      </c>
      <c r="D20" s="190">
        <v>3360</v>
      </c>
    </row>
    <row r="21" spans="1:4" x14ac:dyDescent="0.25">
      <c r="C21" s="84" t="s">
        <v>156</v>
      </c>
      <c r="D21" s="84">
        <v>1.695E-2</v>
      </c>
    </row>
    <row r="22" spans="1:4" x14ac:dyDescent="0.25">
      <c r="C22" s="189" t="s">
        <v>170</v>
      </c>
      <c r="D22" s="191">
        <f>D20*D21</f>
        <v>56.951999999999998</v>
      </c>
    </row>
    <row r="24" spans="1:4" x14ac:dyDescent="0.25">
      <c r="C24" s="189" t="s">
        <v>171</v>
      </c>
      <c r="D24" s="191">
        <v>25</v>
      </c>
    </row>
    <row r="25" spans="1:4" x14ac:dyDescent="0.25">
      <c r="C25" s="84" t="s">
        <v>156</v>
      </c>
      <c r="D25" s="84">
        <v>1.695E-2</v>
      </c>
    </row>
    <row r="26" spans="1:4" x14ac:dyDescent="0.25">
      <c r="C26" s="189" t="s">
        <v>172</v>
      </c>
      <c r="D26" s="191">
        <f>D24*D25</f>
        <v>0.42375000000000002</v>
      </c>
    </row>
    <row r="27" spans="1:4" x14ac:dyDescent="0.25">
      <c r="D27" s="191"/>
    </row>
    <row r="28" spans="1:4" x14ac:dyDescent="0.25">
      <c r="C28" s="189" t="s">
        <v>173</v>
      </c>
      <c r="D28" s="192">
        <v>57.37</v>
      </c>
    </row>
    <row r="30" spans="1:4" x14ac:dyDescent="0.25">
      <c r="A30" s="84" t="s">
        <v>12</v>
      </c>
      <c r="B30" s="84" t="s">
        <v>13</v>
      </c>
    </row>
    <row r="32" spans="1:4" x14ac:dyDescent="0.25">
      <c r="C32" s="84" t="s">
        <v>168</v>
      </c>
    </row>
    <row r="33" spans="1:7" x14ac:dyDescent="0.25">
      <c r="C33" s="189" t="s">
        <v>169</v>
      </c>
      <c r="D33" s="190">
        <v>3360</v>
      </c>
    </row>
    <row r="34" spans="1:7" x14ac:dyDescent="0.25">
      <c r="C34" s="84" t="s">
        <v>156</v>
      </c>
      <c r="D34" s="84">
        <v>1.695E-2</v>
      </c>
    </row>
    <row r="35" spans="1:7" x14ac:dyDescent="0.25">
      <c r="C35" s="189" t="s">
        <v>170</v>
      </c>
      <c r="D35" s="191">
        <f>D33*D34</f>
        <v>56.951999999999998</v>
      </c>
    </row>
    <row r="37" spans="1:7" x14ac:dyDescent="0.25">
      <c r="C37" s="189" t="s">
        <v>171</v>
      </c>
      <c r="D37" s="191">
        <v>25</v>
      </c>
    </row>
    <row r="38" spans="1:7" x14ac:dyDescent="0.25">
      <c r="C38" s="84" t="s">
        <v>156</v>
      </c>
      <c r="D38" s="84">
        <v>1.695E-2</v>
      </c>
    </row>
    <row r="39" spans="1:7" x14ac:dyDescent="0.25">
      <c r="C39" s="189" t="s">
        <v>172</v>
      </c>
      <c r="D39" s="191">
        <f>D37*D38</f>
        <v>0.42375000000000002</v>
      </c>
    </row>
    <row r="41" spans="1:7" x14ac:dyDescent="0.25">
      <c r="C41" s="189" t="s">
        <v>173</v>
      </c>
      <c r="D41" s="192">
        <v>57.37</v>
      </c>
    </row>
    <row r="43" spans="1:7" x14ac:dyDescent="0.25">
      <c r="A43" s="84" t="s">
        <v>15</v>
      </c>
      <c r="B43" s="84" t="s">
        <v>16</v>
      </c>
      <c r="D43" s="191"/>
    </row>
    <row r="44" spans="1:7" x14ac:dyDescent="0.25">
      <c r="D44" s="191"/>
    </row>
    <row r="45" spans="1:7" x14ac:dyDescent="0.25">
      <c r="C45" s="84" t="s">
        <v>164</v>
      </c>
    </row>
    <row r="46" spans="1:7" x14ac:dyDescent="0.25">
      <c r="C46" s="189" t="s">
        <v>1177</v>
      </c>
      <c r="D46" s="190">
        <v>2520</v>
      </c>
      <c r="F46" s="189" t="s">
        <v>1178</v>
      </c>
      <c r="G46" s="190">
        <v>2520</v>
      </c>
    </row>
    <row r="47" spans="1:7" x14ac:dyDescent="0.25">
      <c r="C47" s="84" t="s">
        <v>156</v>
      </c>
      <c r="D47" s="84">
        <v>1.695E-2</v>
      </c>
      <c r="F47" s="84" t="s">
        <v>156</v>
      </c>
      <c r="G47" s="84">
        <v>1.695E-2</v>
      </c>
    </row>
    <row r="48" spans="1:7" x14ac:dyDescent="0.25">
      <c r="C48" s="193" t="s">
        <v>1179</v>
      </c>
      <c r="D48" s="191">
        <f>D46*D47</f>
        <v>42.713999999999999</v>
      </c>
      <c r="F48" s="189" t="s">
        <v>170</v>
      </c>
      <c r="G48" s="191">
        <f>G46*G47</f>
        <v>42.713999999999999</v>
      </c>
    </row>
    <row r="50" spans="1:13" x14ac:dyDescent="0.25">
      <c r="C50" s="189" t="s">
        <v>1180</v>
      </c>
      <c r="D50" s="191">
        <v>19</v>
      </c>
      <c r="F50" s="189" t="s">
        <v>1181</v>
      </c>
      <c r="G50" s="191">
        <v>19</v>
      </c>
    </row>
    <row r="51" spans="1:13" x14ac:dyDescent="0.25">
      <c r="C51" s="84" t="s">
        <v>156</v>
      </c>
      <c r="D51" s="84">
        <v>1.695E-2</v>
      </c>
      <c r="F51" s="84" t="s">
        <v>156</v>
      </c>
      <c r="G51" s="84">
        <v>1.695E-2</v>
      </c>
    </row>
    <row r="52" spans="1:13" x14ac:dyDescent="0.25">
      <c r="C52" s="193" t="s">
        <v>1182</v>
      </c>
      <c r="D52" s="191">
        <f>D50*D51</f>
        <v>0.32205</v>
      </c>
      <c r="F52" s="189" t="s">
        <v>172</v>
      </c>
      <c r="G52" s="191">
        <f>G50*G51</f>
        <v>0.32205</v>
      </c>
    </row>
    <row r="54" spans="1:13" x14ac:dyDescent="0.25">
      <c r="C54" s="194" t="s">
        <v>1183</v>
      </c>
      <c r="D54" s="195">
        <v>43.03</v>
      </c>
      <c r="F54" s="189" t="s">
        <v>173</v>
      </c>
      <c r="G54" s="191">
        <v>43.03</v>
      </c>
    </row>
    <row r="55" spans="1:13" x14ac:dyDescent="0.25">
      <c r="C55" s="194"/>
      <c r="D55" s="195"/>
      <c r="F55" s="194" t="s">
        <v>1184</v>
      </c>
      <c r="G55" s="194">
        <v>43.03</v>
      </c>
    </row>
    <row r="56" spans="1:13" x14ac:dyDescent="0.25">
      <c r="C56" s="194"/>
      <c r="D56" s="195"/>
      <c r="F56" s="189" t="s">
        <v>158</v>
      </c>
      <c r="G56" s="189">
        <v>0</v>
      </c>
    </row>
    <row r="58" spans="1:13" x14ac:dyDescent="0.25">
      <c r="A58" s="84" t="s">
        <v>17</v>
      </c>
      <c r="B58" s="84" t="s">
        <v>18</v>
      </c>
    </row>
    <row r="60" spans="1:13" x14ac:dyDescent="0.25">
      <c r="B60" s="86"/>
      <c r="C60" s="196" t="s">
        <v>176</v>
      </c>
      <c r="D60" s="86"/>
      <c r="E60" s="86"/>
      <c r="F60" s="86"/>
      <c r="G60" s="86"/>
      <c r="H60" s="86"/>
      <c r="I60" s="86"/>
      <c r="J60" s="86"/>
      <c r="K60" s="86"/>
      <c r="L60" s="86"/>
      <c r="M60" s="86"/>
    </row>
    <row r="61" spans="1:13" x14ac:dyDescent="0.25">
      <c r="B61" s="86"/>
      <c r="C61" s="197" t="s">
        <v>1185</v>
      </c>
      <c r="D61" s="198">
        <v>1610</v>
      </c>
      <c r="E61" s="86"/>
      <c r="F61" s="86"/>
      <c r="G61" s="86"/>
      <c r="H61" s="86"/>
      <c r="I61" s="86"/>
      <c r="J61" s="86"/>
      <c r="K61" s="86"/>
      <c r="L61" s="86"/>
      <c r="M61" s="86"/>
    </row>
    <row r="62" spans="1:13" x14ac:dyDescent="0.25">
      <c r="B62" s="86"/>
      <c r="C62" s="84" t="s">
        <v>156</v>
      </c>
      <c r="D62" s="84">
        <v>1.695E-2</v>
      </c>
      <c r="E62" s="86"/>
      <c r="F62" s="86"/>
      <c r="G62" s="86"/>
      <c r="H62" s="86"/>
      <c r="I62" s="86"/>
      <c r="J62" s="86"/>
      <c r="K62" s="86"/>
      <c r="L62" s="86"/>
      <c r="M62" s="86"/>
    </row>
    <row r="63" spans="1:13" x14ac:dyDescent="0.25">
      <c r="C63" s="189" t="s">
        <v>174</v>
      </c>
      <c r="D63" s="191">
        <f>D61*D62</f>
        <v>27.2895</v>
      </c>
    </row>
    <row r="65" spans="1:13" x14ac:dyDescent="0.25">
      <c r="C65" s="189" t="s">
        <v>171</v>
      </c>
      <c r="D65" s="191">
        <v>15</v>
      </c>
    </row>
    <row r="66" spans="1:13" x14ac:dyDescent="0.25">
      <c r="C66" s="84" t="s">
        <v>156</v>
      </c>
      <c r="D66" s="84">
        <v>1.695E-2</v>
      </c>
    </row>
    <row r="67" spans="1:13" x14ac:dyDescent="0.25">
      <c r="C67" s="189" t="s">
        <v>172</v>
      </c>
      <c r="D67" s="191">
        <f>D65*D66</f>
        <v>0.25424999999999998</v>
      </c>
    </row>
    <row r="68" spans="1:13" x14ac:dyDescent="0.25">
      <c r="D68" s="191"/>
    </row>
    <row r="69" spans="1:13" x14ac:dyDescent="0.25">
      <c r="C69" s="189" t="s">
        <v>173</v>
      </c>
      <c r="D69" s="192">
        <f>D63+D67</f>
        <v>27.543749999999999</v>
      </c>
    </row>
    <row r="71" spans="1:13" x14ac:dyDescent="0.25">
      <c r="A71" s="84" t="s">
        <v>20</v>
      </c>
      <c r="B71" s="84" t="s">
        <v>21</v>
      </c>
    </row>
    <row r="73" spans="1:13" x14ac:dyDescent="0.25">
      <c r="C73" s="189" t="s">
        <v>1186</v>
      </c>
      <c r="D73" s="199">
        <v>1380</v>
      </c>
      <c r="F73" s="189" t="s">
        <v>1187</v>
      </c>
      <c r="G73" s="190">
        <v>1680</v>
      </c>
    </row>
    <row r="74" spans="1:13" x14ac:dyDescent="0.25">
      <c r="C74" s="84" t="s">
        <v>156</v>
      </c>
      <c r="D74" s="84">
        <v>1.695E-2</v>
      </c>
      <c r="F74" s="84" t="s">
        <v>156</v>
      </c>
      <c r="G74" s="84">
        <v>1.695E-2</v>
      </c>
    </row>
    <row r="75" spans="1:13" x14ac:dyDescent="0.25">
      <c r="C75" s="194" t="s">
        <v>1188</v>
      </c>
      <c r="D75" s="195">
        <f>D73*D74</f>
        <v>23.390999999999998</v>
      </c>
      <c r="F75" s="189" t="s">
        <v>170</v>
      </c>
      <c r="G75" s="191">
        <f>G73*G74</f>
        <v>28.475999999999999</v>
      </c>
    </row>
    <row r="76" spans="1:13" x14ac:dyDescent="0.25">
      <c r="F76" s="194" t="s">
        <v>1184</v>
      </c>
      <c r="G76" s="84">
        <v>23.39</v>
      </c>
    </row>
    <row r="77" spans="1:13" x14ac:dyDescent="0.25">
      <c r="F77" s="189" t="s">
        <v>173</v>
      </c>
      <c r="G77" s="192">
        <f>G75-G76</f>
        <v>5.0859999999999985</v>
      </c>
    </row>
    <row r="78" spans="1:13" x14ac:dyDescent="0.25">
      <c r="F78" s="189"/>
      <c r="G78" s="192"/>
    </row>
    <row r="79" spans="1:13" x14ac:dyDescent="0.25">
      <c r="C79" s="200" t="s">
        <v>1189</v>
      </c>
      <c r="F79" s="189"/>
      <c r="G79" s="192"/>
    </row>
    <row r="80" spans="1:13" x14ac:dyDescent="0.25">
      <c r="B80" s="86"/>
      <c r="C80" s="86"/>
      <c r="D80" s="86"/>
      <c r="E80" s="86"/>
      <c r="F80" s="86"/>
      <c r="G80" s="86"/>
      <c r="H80" s="86"/>
      <c r="I80" s="86"/>
      <c r="J80" s="86"/>
      <c r="K80" s="86"/>
      <c r="L80" s="86"/>
      <c r="M80" s="86"/>
    </row>
    <row r="81" spans="1:13" x14ac:dyDescent="0.25">
      <c r="A81" s="84" t="s">
        <v>22</v>
      </c>
      <c r="B81" s="84" t="s">
        <v>23</v>
      </c>
    </row>
    <row r="82" spans="1:13" ht="40.5" customHeight="1" x14ac:dyDescent="0.25">
      <c r="B82" s="459" t="s">
        <v>24</v>
      </c>
      <c r="C82" s="459"/>
      <c r="D82" s="459"/>
      <c r="E82" s="459"/>
      <c r="F82" s="459"/>
      <c r="G82" s="459"/>
      <c r="H82" s="459"/>
      <c r="I82" s="459"/>
      <c r="J82" s="459"/>
      <c r="K82" s="459"/>
      <c r="L82" s="86"/>
      <c r="M82" s="86"/>
    </row>
    <row r="83" spans="1:13" x14ac:dyDescent="0.25">
      <c r="B83" s="88"/>
      <c r="C83" s="88"/>
      <c r="D83" s="88"/>
      <c r="E83" s="88"/>
      <c r="F83" s="88"/>
      <c r="G83" s="88"/>
      <c r="H83" s="88"/>
      <c r="I83" s="88"/>
      <c r="J83" s="88"/>
      <c r="K83" s="88"/>
      <c r="L83" s="86"/>
      <c r="M83" s="86"/>
    </row>
    <row r="84" spans="1:13" x14ac:dyDescent="0.25">
      <c r="B84" s="88"/>
      <c r="C84" s="201" t="s">
        <v>177</v>
      </c>
      <c r="D84" s="88"/>
      <c r="E84" s="88"/>
      <c r="F84" s="88"/>
      <c r="G84" s="88"/>
      <c r="H84" s="88"/>
      <c r="I84" s="88"/>
      <c r="J84" s="88"/>
      <c r="K84" s="88"/>
      <c r="L84" s="86"/>
      <c r="M84" s="86"/>
    </row>
    <row r="85" spans="1:13" x14ac:dyDescent="0.25">
      <c r="C85" s="189" t="s">
        <v>169</v>
      </c>
      <c r="D85" s="84">
        <v>291.60000000000002</v>
      </c>
    </row>
    <row r="86" spans="1:13" x14ac:dyDescent="0.25">
      <c r="C86" s="84" t="s">
        <v>156</v>
      </c>
      <c r="D86" s="84">
        <v>1.695E-2</v>
      </c>
    </row>
    <row r="87" spans="1:13" x14ac:dyDescent="0.25">
      <c r="C87" s="189" t="s">
        <v>170</v>
      </c>
      <c r="D87" s="191">
        <f>D85*D86</f>
        <v>4.9426200000000007</v>
      </c>
    </row>
    <row r="89" spans="1:13" x14ac:dyDescent="0.25">
      <c r="C89" s="189" t="s">
        <v>171</v>
      </c>
      <c r="D89" s="191">
        <v>25</v>
      </c>
    </row>
    <row r="90" spans="1:13" x14ac:dyDescent="0.25">
      <c r="C90" s="84" t="s">
        <v>156</v>
      </c>
      <c r="D90" s="84">
        <v>1.695E-2</v>
      </c>
    </row>
    <row r="91" spans="1:13" x14ac:dyDescent="0.25">
      <c r="C91" s="189" t="s">
        <v>172</v>
      </c>
      <c r="D91" s="191">
        <f>D89*D90</f>
        <v>0.42375000000000002</v>
      </c>
    </row>
    <row r="92" spans="1:13" x14ac:dyDescent="0.25">
      <c r="B92" s="86"/>
      <c r="C92" s="86"/>
      <c r="D92" s="86"/>
      <c r="E92" s="86"/>
      <c r="F92" s="86"/>
      <c r="G92" s="86"/>
      <c r="H92" s="86"/>
      <c r="I92" s="86"/>
      <c r="J92" s="86"/>
      <c r="K92" s="86"/>
      <c r="L92" s="86"/>
      <c r="M92" s="86"/>
    </row>
    <row r="93" spans="1:13" x14ac:dyDescent="0.25">
      <c r="B93" s="86"/>
      <c r="C93" s="197" t="s">
        <v>173</v>
      </c>
      <c r="D93" s="202">
        <v>5.36</v>
      </c>
      <c r="E93" s="86"/>
      <c r="F93" s="86"/>
      <c r="G93" s="86"/>
      <c r="H93" s="86"/>
      <c r="I93" s="86"/>
      <c r="J93" s="86"/>
      <c r="K93" s="86"/>
      <c r="L93" s="86"/>
      <c r="M93" s="86"/>
    </row>
    <row r="94" spans="1:13" x14ac:dyDescent="0.25">
      <c r="B94" s="86"/>
      <c r="C94" s="86"/>
      <c r="D94" s="86"/>
      <c r="E94" s="86"/>
      <c r="F94" s="86"/>
      <c r="G94" s="86"/>
      <c r="H94" s="86"/>
      <c r="I94" s="86"/>
      <c r="J94" s="86"/>
      <c r="K94" s="86"/>
      <c r="L94" s="86"/>
      <c r="M94" s="86"/>
    </row>
    <row r="95" spans="1:13" x14ac:dyDescent="0.25">
      <c r="C95" s="189" t="s">
        <v>1190</v>
      </c>
    </row>
    <row r="96" spans="1:13" x14ac:dyDescent="0.25">
      <c r="C96" s="189" t="s">
        <v>1191</v>
      </c>
    </row>
  </sheetData>
  <mergeCells count="3">
    <mergeCell ref="A1:I1"/>
    <mergeCell ref="A3:K6"/>
    <mergeCell ref="B82:K8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2F7FA-2AE5-444E-A9E3-14BB568836FF}">
  <dimension ref="A1:M80"/>
  <sheetViews>
    <sheetView workbookViewId="0">
      <selection activeCell="H31" sqref="H31"/>
    </sheetView>
  </sheetViews>
  <sheetFormatPr defaultColWidth="9.140625" defaultRowHeight="15" x14ac:dyDescent="0.25"/>
  <cols>
    <col min="1" max="16384" width="9.140625" style="84"/>
  </cols>
  <sheetData>
    <row r="1" spans="1:13" ht="21" x14ac:dyDescent="0.35">
      <c r="A1" s="457" t="s">
        <v>1669</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3" x14ac:dyDescent="0.25">
      <c r="A17" s="84" t="s">
        <v>10</v>
      </c>
      <c r="B17" s="84" t="s">
        <v>11</v>
      </c>
    </row>
    <row r="20" spans="1:3" x14ac:dyDescent="0.25">
      <c r="B20" s="13" t="s">
        <v>164</v>
      </c>
      <c r="C20" s="13"/>
    </row>
    <row r="21" spans="1:3" x14ac:dyDescent="0.25">
      <c r="B21" s="13" t="s">
        <v>178</v>
      </c>
      <c r="C21" s="23">
        <v>2890</v>
      </c>
    </row>
    <row r="22" spans="1:3" x14ac:dyDescent="0.25">
      <c r="B22" s="13" t="s">
        <v>156</v>
      </c>
      <c r="C22" s="13" t="s">
        <v>1670</v>
      </c>
    </row>
    <row r="23" spans="1:3" x14ac:dyDescent="0.25">
      <c r="B23" s="13" t="s">
        <v>175</v>
      </c>
      <c r="C23" s="13">
        <v>48.99</v>
      </c>
    </row>
    <row r="27" spans="1:3" x14ac:dyDescent="0.25">
      <c r="A27" s="84" t="s">
        <v>12</v>
      </c>
      <c r="B27" s="84" t="s">
        <v>13</v>
      </c>
    </row>
    <row r="30" spans="1:3" x14ac:dyDescent="0.25">
      <c r="B30" s="13" t="s">
        <v>164</v>
      </c>
      <c r="C30" s="13"/>
    </row>
    <row r="31" spans="1:3" x14ac:dyDescent="0.25">
      <c r="B31" s="13" t="s">
        <v>178</v>
      </c>
      <c r="C31" s="23">
        <v>2890</v>
      </c>
    </row>
    <row r="32" spans="1:3" x14ac:dyDescent="0.25">
      <c r="B32" s="13" t="s">
        <v>156</v>
      </c>
      <c r="C32" s="13" t="s">
        <v>1670</v>
      </c>
    </row>
    <row r="33" spans="1:3" x14ac:dyDescent="0.25">
      <c r="B33" s="13" t="s">
        <v>175</v>
      </c>
      <c r="C33" s="13">
        <v>48.99</v>
      </c>
    </row>
    <row r="34" spans="1:3" x14ac:dyDescent="0.25">
      <c r="B34" s="13"/>
      <c r="C34" s="13"/>
    </row>
    <row r="37" spans="1:3" x14ac:dyDescent="0.25">
      <c r="A37" s="84" t="s">
        <v>15</v>
      </c>
      <c r="B37" s="84" t="s">
        <v>16</v>
      </c>
    </row>
    <row r="40" spans="1:3" x14ac:dyDescent="0.25">
      <c r="B40" s="84" t="s">
        <v>1671</v>
      </c>
    </row>
    <row r="41" spans="1:3" x14ac:dyDescent="0.25">
      <c r="B41" s="84" t="s">
        <v>1672</v>
      </c>
    </row>
    <row r="47" spans="1:3" x14ac:dyDescent="0.25">
      <c r="A47" s="84" t="s">
        <v>17</v>
      </c>
      <c r="B47" s="84" t="s">
        <v>18</v>
      </c>
    </row>
    <row r="49" spans="1:13" x14ac:dyDescent="0.25">
      <c r="B49" s="86"/>
      <c r="C49" s="86"/>
      <c r="D49" s="86"/>
      <c r="E49" s="86"/>
      <c r="F49" s="86"/>
      <c r="G49" s="86"/>
      <c r="H49" s="86"/>
      <c r="I49" s="86"/>
      <c r="J49" s="86"/>
      <c r="K49" s="86"/>
      <c r="L49" s="86"/>
      <c r="M49" s="86"/>
    </row>
    <row r="50" spans="1:13" x14ac:dyDescent="0.25">
      <c r="B50" s="13" t="s">
        <v>176</v>
      </c>
      <c r="C50" s="13"/>
      <c r="D50" s="14"/>
      <c r="E50" s="86"/>
      <c r="F50" s="86"/>
      <c r="G50" s="86"/>
      <c r="H50" s="86"/>
      <c r="I50" s="86"/>
      <c r="J50" s="86"/>
      <c r="K50" s="86"/>
      <c r="L50" s="86"/>
      <c r="M50" s="86"/>
    </row>
    <row r="51" spans="1:13" x14ac:dyDescent="0.25">
      <c r="B51" s="13" t="s">
        <v>179</v>
      </c>
      <c r="C51" s="23">
        <v>2044</v>
      </c>
      <c r="D51" s="14"/>
      <c r="E51" s="86"/>
      <c r="F51" s="86"/>
      <c r="G51" s="86"/>
      <c r="H51" s="86"/>
      <c r="I51" s="86"/>
      <c r="J51" s="86"/>
      <c r="K51" s="86"/>
      <c r="L51" s="86"/>
      <c r="M51" s="86"/>
    </row>
    <row r="52" spans="1:13" x14ac:dyDescent="0.25">
      <c r="B52" s="13" t="s">
        <v>156</v>
      </c>
      <c r="C52" s="13" t="s">
        <v>1670</v>
      </c>
      <c r="D52" s="13"/>
    </row>
    <row r="53" spans="1:13" x14ac:dyDescent="0.25">
      <c r="B53" s="13" t="s">
        <v>175</v>
      </c>
      <c r="C53" s="13">
        <v>34.65</v>
      </c>
      <c r="D53" s="13"/>
    </row>
    <row r="57" spans="1:13" x14ac:dyDescent="0.25">
      <c r="A57" s="84" t="s">
        <v>20</v>
      </c>
      <c r="B57" s="84" t="s">
        <v>21</v>
      </c>
    </row>
    <row r="59" spans="1:13" x14ac:dyDescent="0.25">
      <c r="B59" s="13" t="s">
        <v>1673</v>
      </c>
      <c r="C59" s="13"/>
      <c r="E59" s="13" t="s">
        <v>1674</v>
      </c>
      <c r="F59" s="13"/>
      <c r="H59" s="13" t="s">
        <v>180</v>
      </c>
      <c r="I59" s="13">
        <v>24.58</v>
      </c>
    </row>
    <row r="60" spans="1:13" x14ac:dyDescent="0.25">
      <c r="B60" s="13" t="s">
        <v>179</v>
      </c>
      <c r="C60" s="23">
        <v>1366</v>
      </c>
      <c r="E60" s="13" t="s">
        <v>25</v>
      </c>
      <c r="F60" s="23">
        <v>1450</v>
      </c>
      <c r="H60" s="13" t="s">
        <v>1675</v>
      </c>
      <c r="I60" s="13">
        <v>-23.15</v>
      </c>
    </row>
    <row r="61" spans="1:13" x14ac:dyDescent="0.25">
      <c r="B61" s="13" t="s">
        <v>156</v>
      </c>
      <c r="C61" s="13" t="s">
        <v>1670</v>
      </c>
      <c r="E61" s="13" t="s">
        <v>156</v>
      </c>
      <c r="F61" s="13" t="s">
        <v>1670</v>
      </c>
      <c r="H61" s="13" t="s">
        <v>175</v>
      </c>
      <c r="I61" s="13">
        <v>1.43</v>
      </c>
    </row>
    <row r="62" spans="1:13" x14ac:dyDescent="0.25">
      <c r="B62" s="13" t="s">
        <v>1675</v>
      </c>
      <c r="C62" s="13">
        <v>23.15</v>
      </c>
      <c r="E62" s="13" t="s">
        <v>1676</v>
      </c>
      <c r="F62" s="13">
        <v>24.58</v>
      </c>
    </row>
    <row r="65" spans="1:13" x14ac:dyDescent="0.25">
      <c r="B65" s="86"/>
      <c r="C65" s="86"/>
      <c r="D65" s="86"/>
      <c r="E65" s="86"/>
      <c r="F65" s="86"/>
      <c r="G65" s="86"/>
      <c r="H65" s="86"/>
      <c r="I65" s="86"/>
      <c r="J65" s="86"/>
      <c r="K65" s="86"/>
      <c r="L65" s="86"/>
      <c r="M65" s="86"/>
    </row>
    <row r="66" spans="1:13" x14ac:dyDescent="0.25">
      <c r="B66" s="86"/>
      <c r="C66" s="86"/>
      <c r="D66" s="86"/>
      <c r="E66" s="86"/>
      <c r="F66" s="86"/>
      <c r="G66" s="86"/>
      <c r="H66" s="86"/>
      <c r="I66" s="86"/>
      <c r="J66" s="86"/>
      <c r="K66" s="86"/>
      <c r="L66" s="86"/>
      <c r="M66" s="86"/>
    </row>
    <row r="67" spans="1:13" x14ac:dyDescent="0.25">
      <c r="A67" s="84" t="s">
        <v>22</v>
      </c>
      <c r="B67" s="84" t="s">
        <v>23</v>
      </c>
    </row>
    <row r="68" spans="1:13" ht="40.5" customHeight="1" x14ac:dyDescent="0.25">
      <c r="B68" s="459" t="s">
        <v>24</v>
      </c>
      <c r="C68" s="459"/>
      <c r="D68" s="459"/>
      <c r="E68" s="459"/>
      <c r="F68" s="459"/>
      <c r="G68" s="459"/>
      <c r="H68" s="459"/>
      <c r="I68" s="459"/>
      <c r="J68" s="459"/>
      <c r="K68" s="459"/>
      <c r="L68" s="86"/>
      <c r="M68" s="86"/>
    </row>
    <row r="69" spans="1:13" x14ac:dyDescent="0.25">
      <c r="B69" s="88"/>
      <c r="C69" s="88"/>
      <c r="D69" s="88"/>
      <c r="E69" s="88"/>
      <c r="F69" s="88"/>
      <c r="G69" s="88"/>
      <c r="H69" s="88"/>
      <c r="I69" s="88"/>
      <c r="J69" s="88"/>
      <c r="K69" s="88"/>
      <c r="L69" s="86"/>
      <c r="M69" s="86"/>
    </row>
    <row r="70" spans="1:13" x14ac:dyDescent="0.25">
      <c r="B70" s="13" t="s">
        <v>1677</v>
      </c>
      <c r="C70" s="13"/>
      <c r="D70" s="88"/>
      <c r="E70" s="88"/>
      <c r="F70" s="88"/>
      <c r="G70" s="88"/>
      <c r="H70" s="88"/>
      <c r="I70" s="88"/>
      <c r="J70" s="88"/>
      <c r="K70" s="88"/>
      <c r="L70" s="86"/>
      <c r="M70" s="86"/>
    </row>
    <row r="71" spans="1:13" x14ac:dyDescent="0.25">
      <c r="B71" s="13" t="s">
        <v>179</v>
      </c>
      <c r="C71" s="23">
        <v>1302</v>
      </c>
    </row>
    <row r="72" spans="1:13" x14ac:dyDescent="0.25">
      <c r="B72" s="13" t="s">
        <v>156</v>
      </c>
      <c r="C72" s="13" t="s">
        <v>181</v>
      </c>
    </row>
    <row r="73" spans="1:13" x14ac:dyDescent="0.25">
      <c r="B73" s="13" t="s">
        <v>175</v>
      </c>
      <c r="C73" s="13">
        <v>22.07</v>
      </c>
    </row>
    <row r="78" spans="1:13" x14ac:dyDescent="0.25">
      <c r="B78" s="86"/>
      <c r="C78" s="86"/>
      <c r="D78" s="86"/>
      <c r="E78" s="86"/>
      <c r="F78" s="86"/>
      <c r="G78" s="86"/>
      <c r="H78" s="86"/>
      <c r="I78" s="86"/>
      <c r="J78" s="86"/>
      <c r="K78" s="86"/>
      <c r="L78" s="86"/>
      <c r="M78" s="86"/>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sheetData>
  <mergeCells count="3">
    <mergeCell ref="A1:I1"/>
    <mergeCell ref="A3:K6"/>
    <mergeCell ref="B68:K6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3F1CE-8782-47A8-A1EE-011E2F90B3E8}">
  <dimension ref="A1:O106"/>
  <sheetViews>
    <sheetView workbookViewId="0">
      <selection sqref="A1:XFD1048576"/>
    </sheetView>
  </sheetViews>
  <sheetFormatPr defaultRowHeight="15" x14ac:dyDescent="0.25"/>
  <cols>
    <col min="1" max="5" width="9.140625" style="84"/>
    <col min="6" max="6" width="10.140625" style="84" bestFit="1" customWidth="1"/>
    <col min="7" max="11" width="9.140625" style="84"/>
    <col min="12" max="12" width="10.140625" style="84" bestFit="1" customWidth="1"/>
    <col min="13" max="16384" width="9.140625" style="84"/>
  </cols>
  <sheetData>
    <row r="1" spans="1:13" ht="21" x14ac:dyDescent="0.35">
      <c r="A1" s="483" t="s">
        <v>1192</v>
      </c>
      <c r="B1" s="483"/>
      <c r="C1" s="483"/>
      <c r="D1" s="483"/>
      <c r="E1" s="483"/>
      <c r="F1" s="483"/>
      <c r="G1" s="483"/>
      <c r="H1" s="483"/>
      <c r="I1" s="483"/>
    </row>
    <row r="2" spans="1:13" ht="21" x14ac:dyDescent="0.35">
      <c r="A2" s="203"/>
      <c r="B2" s="203"/>
      <c r="C2" s="203"/>
      <c r="D2" s="203"/>
      <c r="E2" s="203"/>
      <c r="F2" s="203"/>
      <c r="G2" s="203"/>
      <c r="H2" s="203"/>
      <c r="I2" s="20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6" x14ac:dyDescent="0.25">
      <c r="A17" s="84" t="s">
        <v>10</v>
      </c>
      <c r="B17" s="84" t="s">
        <v>11</v>
      </c>
    </row>
    <row r="19" spans="1:6" x14ac:dyDescent="0.25">
      <c r="B19" s="485" t="s">
        <v>154</v>
      </c>
      <c r="C19" s="485"/>
      <c r="D19" s="485"/>
      <c r="E19" s="485"/>
      <c r="F19" s="485"/>
    </row>
    <row r="20" spans="1:6" x14ac:dyDescent="0.25">
      <c r="B20" s="484" t="s">
        <v>156</v>
      </c>
      <c r="C20" s="484"/>
      <c r="D20" s="484"/>
      <c r="E20" s="484"/>
      <c r="F20" s="205">
        <v>1.695E-2</v>
      </c>
    </row>
    <row r="21" spans="1:6" x14ac:dyDescent="0.25">
      <c r="B21" s="484" t="s">
        <v>155</v>
      </c>
      <c r="C21" s="484"/>
      <c r="D21" s="484"/>
      <c r="E21" s="484"/>
      <c r="F21" s="206">
        <v>1692</v>
      </c>
    </row>
    <row r="22" spans="1:6" x14ac:dyDescent="0.25">
      <c r="B22" s="484" t="s">
        <v>182</v>
      </c>
      <c r="C22" s="484"/>
      <c r="D22" s="484"/>
      <c r="E22" s="484"/>
      <c r="F22" s="207">
        <f>ROUND(F21*F20,2)</f>
        <v>28.68</v>
      </c>
    </row>
    <row r="23" spans="1:6" x14ac:dyDescent="0.25">
      <c r="B23" s="484" t="s">
        <v>183</v>
      </c>
      <c r="C23" s="484"/>
      <c r="D23" s="484"/>
      <c r="E23" s="484"/>
      <c r="F23" s="206">
        <v>540</v>
      </c>
    </row>
    <row r="24" spans="1:6" x14ac:dyDescent="0.25">
      <c r="B24" s="484" t="s">
        <v>184</v>
      </c>
      <c r="C24" s="484"/>
      <c r="D24" s="484"/>
      <c r="E24" s="484"/>
      <c r="F24" s="207">
        <f>ROUND(F23*F20,2)</f>
        <v>9.15</v>
      </c>
    </row>
    <row r="25" spans="1:6" x14ac:dyDescent="0.25">
      <c r="B25" s="484" t="s">
        <v>185</v>
      </c>
      <c r="C25" s="484"/>
      <c r="D25" s="484"/>
      <c r="E25" s="484"/>
      <c r="F25" s="206">
        <v>0</v>
      </c>
    </row>
    <row r="26" spans="1:6" x14ac:dyDescent="0.25">
      <c r="B26" s="484" t="s">
        <v>186</v>
      </c>
      <c r="C26" s="484"/>
      <c r="D26" s="484"/>
      <c r="E26" s="484"/>
      <c r="F26" s="207">
        <f>ROUND(F25*F20,2)</f>
        <v>0</v>
      </c>
    </row>
    <row r="27" spans="1:6" x14ac:dyDescent="0.25">
      <c r="B27" s="484" t="s">
        <v>187</v>
      </c>
      <c r="C27" s="484"/>
      <c r="D27" s="484"/>
      <c r="E27" s="484"/>
      <c r="F27" s="206">
        <v>0</v>
      </c>
    </row>
    <row r="28" spans="1:6" x14ac:dyDescent="0.25">
      <c r="B28" s="484" t="s">
        <v>188</v>
      </c>
      <c r="C28" s="484"/>
      <c r="D28" s="484"/>
      <c r="E28" s="484"/>
      <c r="F28" s="207">
        <f>ROUND(F27*F20,2)</f>
        <v>0</v>
      </c>
    </row>
    <row r="29" spans="1:6" x14ac:dyDescent="0.25">
      <c r="B29" s="484" t="s">
        <v>189</v>
      </c>
      <c r="C29" s="484"/>
      <c r="D29" s="484"/>
      <c r="E29" s="484"/>
      <c r="F29" s="208">
        <f>SUM(F22,F24,F26,F28)</f>
        <v>37.83</v>
      </c>
    </row>
    <row r="31" spans="1:6" x14ac:dyDescent="0.25">
      <c r="A31" s="84" t="s">
        <v>12</v>
      </c>
      <c r="B31" s="84" t="s">
        <v>13</v>
      </c>
    </row>
    <row r="33" spans="1:12" x14ac:dyDescent="0.25">
      <c r="B33" s="485" t="s">
        <v>154</v>
      </c>
      <c r="C33" s="485"/>
      <c r="D33" s="485"/>
      <c r="E33" s="485"/>
      <c r="F33" s="485"/>
    </row>
    <row r="34" spans="1:12" x14ac:dyDescent="0.25">
      <c r="B34" s="484" t="s">
        <v>156</v>
      </c>
      <c r="C34" s="484"/>
      <c r="D34" s="484"/>
      <c r="E34" s="484"/>
      <c r="F34" s="205">
        <v>1.695E-2</v>
      </c>
    </row>
    <row r="35" spans="1:12" x14ac:dyDescent="0.25">
      <c r="B35" s="484" t="s">
        <v>155</v>
      </c>
      <c r="C35" s="484"/>
      <c r="D35" s="484"/>
      <c r="E35" s="484"/>
      <c r="F35" s="206">
        <v>1692</v>
      </c>
    </row>
    <row r="36" spans="1:12" x14ac:dyDescent="0.25">
      <c r="B36" s="484" t="s">
        <v>182</v>
      </c>
      <c r="C36" s="484"/>
      <c r="D36" s="484"/>
      <c r="E36" s="484"/>
      <c r="F36" s="207">
        <f>ROUND(F35*F34,2)</f>
        <v>28.68</v>
      </c>
    </row>
    <row r="37" spans="1:12" x14ac:dyDescent="0.25">
      <c r="B37" s="484" t="s">
        <v>183</v>
      </c>
      <c r="C37" s="484"/>
      <c r="D37" s="484"/>
      <c r="E37" s="484"/>
      <c r="F37" s="206">
        <v>540</v>
      </c>
    </row>
    <row r="38" spans="1:12" x14ac:dyDescent="0.25">
      <c r="B38" s="484" t="s">
        <v>184</v>
      </c>
      <c r="C38" s="484"/>
      <c r="D38" s="484"/>
      <c r="E38" s="484"/>
      <c r="F38" s="207">
        <f>ROUND(F37*F34,2)</f>
        <v>9.15</v>
      </c>
    </row>
    <row r="39" spans="1:12" x14ac:dyDescent="0.25">
      <c r="B39" s="484" t="s">
        <v>185</v>
      </c>
      <c r="C39" s="484"/>
      <c r="D39" s="484"/>
      <c r="E39" s="484"/>
      <c r="F39" s="206">
        <v>0</v>
      </c>
    </row>
    <row r="40" spans="1:12" x14ac:dyDescent="0.25">
      <c r="B40" s="484" t="s">
        <v>186</v>
      </c>
      <c r="C40" s="484"/>
      <c r="D40" s="484"/>
      <c r="E40" s="484"/>
      <c r="F40" s="207">
        <f>ROUND(F39*F34,2)</f>
        <v>0</v>
      </c>
    </row>
    <row r="41" spans="1:12" x14ac:dyDescent="0.25">
      <c r="B41" s="484" t="s">
        <v>187</v>
      </c>
      <c r="C41" s="484"/>
      <c r="D41" s="484"/>
      <c r="E41" s="484"/>
      <c r="F41" s="206">
        <v>0</v>
      </c>
    </row>
    <row r="42" spans="1:12" x14ac:dyDescent="0.25">
      <c r="B42" s="484" t="s">
        <v>188</v>
      </c>
      <c r="C42" s="484"/>
      <c r="D42" s="484"/>
      <c r="E42" s="484"/>
      <c r="F42" s="207">
        <f>ROUND(F41*F34,2)</f>
        <v>0</v>
      </c>
    </row>
    <row r="43" spans="1:12" x14ac:dyDescent="0.25">
      <c r="B43" s="484" t="s">
        <v>189</v>
      </c>
      <c r="C43" s="484"/>
      <c r="D43" s="484"/>
      <c r="E43" s="484"/>
      <c r="F43" s="208">
        <f>SUM(F36,F38,F40,F42)</f>
        <v>37.83</v>
      </c>
    </row>
    <row r="44" spans="1:12" x14ac:dyDescent="0.25">
      <c r="F44" s="208"/>
    </row>
    <row r="45" spans="1:12" x14ac:dyDescent="0.25">
      <c r="A45" s="84" t="s">
        <v>15</v>
      </c>
      <c r="B45" s="84" t="s">
        <v>16</v>
      </c>
    </row>
    <row r="47" spans="1:12" x14ac:dyDescent="0.25">
      <c r="B47" s="486" t="s">
        <v>190</v>
      </c>
      <c r="C47" s="486"/>
      <c r="D47" s="486"/>
      <c r="E47" s="486"/>
      <c r="F47" s="486"/>
      <c r="H47" s="486" t="s">
        <v>191</v>
      </c>
      <c r="I47" s="486"/>
      <c r="J47" s="486"/>
      <c r="K47" s="486"/>
      <c r="L47" s="486"/>
    </row>
    <row r="48" spans="1:12" x14ac:dyDescent="0.25">
      <c r="B48" s="485" t="s">
        <v>154</v>
      </c>
      <c r="C48" s="485"/>
      <c r="D48" s="485"/>
      <c r="E48" s="485"/>
      <c r="F48" s="485"/>
      <c r="H48" s="485" t="s">
        <v>154</v>
      </c>
      <c r="I48" s="485"/>
      <c r="J48" s="485"/>
      <c r="K48" s="485"/>
      <c r="L48" s="485"/>
    </row>
    <row r="49" spans="1:13" x14ac:dyDescent="0.25">
      <c r="B49" s="484" t="s">
        <v>156</v>
      </c>
      <c r="C49" s="484"/>
      <c r="D49" s="484"/>
      <c r="E49" s="484"/>
      <c r="F49" s="205">
        <v>1.695E-2</v>
      </c>
      <c r="H49" s="484" t="s">
        <v>156</v>
      </c>
      <c r="I49" s="484"/>
      <c r="J49" s="484"/>
      <c r="K49" s="484"/>
      <c r="L49" s="205">
        <v>1.695E-2</v>
      </c>
    </row>
    <row r="50" spans="1:13" x14ac:dyDescent="0.25">
      <c r="B50" s="484" t="s">
        <v>155</v>
      </c>
      <c r="C50" s="484"/>
      <c r="D50" s="484"/>
      <c r="E50" s="484"/>
      <c r="F50" s="206">
        <v>1269</v>
      </c>
      <c r="H50" s="484" t="s">
        <v>155</v>
      </c>
      <c r="I50" s="484"/>
      <c r="J50" s="484"/>
      <c r="K50" s="484"/>
      <c r="L50" s="206">
        <v>1269</v>
      </c>
    </row>
    <row r="51" spans="1:13" x14ac:dyDescent="0.25">
      <c r="B51" s="484" t="s">
        <v>182</v>
      </c>
      <c r="C51" s="484"/>
      <c r="D51" s="484"/>
      <c r="E51" s="484"/>
      <c r="F51" s="207">
        <f>F50*F49</f>
        <v>21.509550000000001</v>
      </c>
      <c r="H51" s="484" t="s">
        <v>182</v>
      </c>
      <c r="I51" s="484"/>
      <c r="J51" s="484"/>
      <c r="K51" s="484"/>
      <c r="L51" s="207">
        <f>L50*L49</f>
        <v>21.509550000000001</v>
      </c>
    </row>
    <row r="52" spans="1:13" x14ac:dyDescent="0.25">
      <c r="B52" s="484" t="s">
        <v>183</v>
      </c>
      <c r="C52" s="484"/>
      <c r="D52" s="484"/>
      <c r="E52" s="484"/>
      <c r="F52" s="206">
        <v>405</v>
      </c>
      <c r="H52" s="484" t="s">
        <v>183</v>
      </c>
      <c r="I52" s="484"/>
      <c r="J52" s="484"/>
      <c r="K52" s="484"/>
      <c r="L52" s="206">
        <v>405</v>
      </c>
    </row>
    <row r="53" spans="1:13" x14ac:dyDescent="0.25">
      <c r="B53" s="484" t="s">
        <v>184</v>
      </c>
      <c r="C53" s="484"/>
      <c r="D53" s="484"/>
      <c r="E53" s="484"/>
      <c r="F53" s="207">
        <f>F52*F49</f>
        <v>6.8647499999999999</v>
      </c>
      <c r="H53" s="484" t="s">
        <v>184</v>
      </c>
      <c r="I53" s="484"/>
      <c r="J53" s="484"/>
      <c r="K53" s="484"/>
      <c r="L53" s="207">
        <f>L52*L49</f>
        <v>6.8647499999999999</v>
      </c>
    </row>
    <row r="54" spans="1:13" x14ac:dyDescent="0.25">
      <c r="B54" s="484" t="s">
        <v>185</v>
      </c>
      <c r="C54" s="484"/>
      <c r="D54" s="484"/>
      <c r="E54" s="484"/>
      <c r="F54" s="206">
        <v>0</v>
      </c>
      <c r="H54" s="484" t="s">
        <v>185</v>
      </c>
      <c r="I54" s="484"/>
      <c r="J54" s="484"/>
      <c r="K54" s="484"/>
      <c r="L54" s="206">
        <v>0</v>
      </c>
    </row>
    <row r="55" spans="1:13" x14ac:dyDescent="0.25">
      <c r="B55" s="484" t="s">
        <v>186</v>
      </c>
      <c r="C55" s="484"/>
      <c r="D55" s="484"/>
      <c r="E55" s="484"/>
      <c r="F55" s="207">
        <f>F54*F49</f>
        <v>0</v>
      </c>
      <c r="H55" s="484" t="s">
        <v>186</v>
      </c>
      <c r="I55" s="484"/>
      <c r="J55" s="484"/>
      <c r="K55" s="484"/>
      <c r="L55" s="207">
        <f>L54*L49</f>
        <v>0</v>
      </c>
    </row>
    <row r="56" spans="1:13" x14ac:dyDescent="0.25">
      <c r="B56" s="484" t="s">
        <v>187</v>
      </c>
      <c r="C56" s="484"/>
      <c r="D56" s="484"/>
      <c r="E56" s="484"/>
      <c r="F56" s="206">
        <v>0</v>
      </c>
      <c r="H56" s="484" t="s">
        <v>187</v>
      </c>
      <c r="I56" s="484"/>
      <c r="J56" s="484"/>
      <c r="K56" s="484"/>
      <c r="L56" s="206">
        <v>0</v>
      </c>
    </row>
    <row r="57" spans="1:13" x14ac:dyDescent="0.25">
      <c r="B57" s="484" t="s">
        <v>188</v>
      </c>
      <c r="C57" s="484"/>
      <c r="D57" s="484"/>
      <c r="E57" s="484"/>
      <c r="F57" s="207">
        <f>F56*F49</f>
        <v>0</v>
      </c>
      <c r="G57" s="86"/>
      <c r="H57" s="484" t="s">
        <v>188</v>
      </c>
      <c r="I57" s="484"/>
      <c r="J57" s="484"/>
      <c r="K57" s="484"/>
      <c r="L57" s="207">
        <f>L56*L49</f>
        <v>0</v>
      </c>
      <c r="M57" s="86"/>
    </row>
    <row r="58" spans="1:13" x14ac:dyDescent="0.25">
      <c r="B58" s="484" t="s">
        <v>192</v>
      </c>
      <c r="C58" s="484"/>
      <c r="D58" s="484"/>
      <c r="E58" s="484"/>
      <c r="F58" s="207">
        <f>SUM(F51,F53,F55,F57)</f>
        <v>28.374300000000002</v>
      </c>
      <c r="G58" s="86"/>
      <c r="H58" s="484" t="s">
        <v>189</v>
      </c>
      <c r="I58" s="484"/>
      <c r="J58" s="484"/>
      <c r="K58" s="484"/>
      <c r="L58" s="207">
        <f>SUM(L51,L53,L55,L57)</f>
        <v>28.374300000000002</v>
      </c>
      <c r="M58" s="86"/>
    </row>
    <row r="59" spans="1:13" x14ac:dyDescent="0.25">
      <c r="F59" s="207"/>
      <c r="G59" s="86"/>
      <c r="L59" s="207"/>
      <c r="M59" s="86"/>
    </row>
    <row r="60" spans="1:13" x14ac:dyDescent="0.25">
      <c r="B60" s="484" t="s">
        <v>193</v>
      </c>
      <c r="C60" s="484"/>
      <c r="D60" s="484"/>
      <c r="E60" s="484"/>
      <c r="F60" s="209">
        <f>ROUND(L58-F58,2)</f>
        <v>0</v>
      </c>
      <c r="G60" s="86"/>
      <c r="H60" s="86"/>
      <c r="I60" s="86"/>
      <c r="J60" s="86"/>
      <c r="K60" s="86"/>
      <c r="L60" s="86"/>
      <c r="M60" s="86"/>
    </row>
    <row r="61" spans="1:13" x14ac:dyDescent="0.25">
      <c r="E61" s="86"/>
      <c r="F61" s="86"/>
    </row>
    <row r="62" spans="1:13" x14ac:dyDescent="0.25">
      <c r="A62" s="84" t="s">
        <v>17</v>
      </c>
      <c r="B62" s="84" t="s">
        <v>18</v>
      </c>
      <c r="D62" s="86"/>
      <c r="E62" s="86"/>
      <c r="F62" s="86"/>
    </row>
    <row r="63" spans="1:13" x14ac:dyDescent="0.25">
      <c r="D63" s="86"/>
    </row>
    <row r="64" spans="1:13" x14ac:dyDescent="0.25">
      <c r="B64" s="485" t="s">
        <v>161</v>
      </c>
      <c r="C64" s="485"/>
      <c r="D64" s="485"/>
      <c r="E64" s="485"/>
      <c r="F64" s="485"/>
    </row>
    <row r="65" spans="1:12" x14ac:dyDescent="0.25">
      <c r="B65" s="484" t="s">
        <v>156</v>
      </c>
      <c r="C65" s="484"/>
      <c r="D65" s="484"/>
      <c r="E65" s="484"/>
      <c r="F65" s="205">
        <v>1.695E-2</v>
      </c>
    </row>
    <row r="66" spans="1:12" x14ac:dyDescent="0.25">
      <c r="B66" s="484" t="s">
        <v>155</v>
      </c>
      <c r="C66" s="484"/>
      <c r="D66" s="484"/>
      <c r="E66" s="484"/>
      <c r="F66" s="206">
        <v>700</v>
      </c>
    </row>
    <row r="67" spans="1:12" x14ac:dyDescent="0.25">
      <c r="B67" s="484" t="s">
        <v>182</v>
      </c>
      <c r="C67" s="484"/>
      <c r="D67" s="484"/>
      <c r="E67" s="484"/>
      <c r="F67" s="207">
        <f>ROUND(F66*F65,2)</f>
        <v>11.87</v>
      </c>
    </row>
    <row r="68" spans="1:12" x14ac:dyDescent="0.25">
      <c r="B68" s="484" t="s">
        <v>183</v>
      </c>
      <c r="C68" s="484"/>
      <c r="D68" s="484"/>
      <c r="E68" s="484"/>
      <c r="F68" s="206">
        <v>223.42</v>
      </c>
    </row>
    <row r="69" spans="1:12" x14ac:dyDescent="0.25">
      <c r="B69" s="484" t="s">
        <v>184</v>
      </c>
      <c r="C69" s="484"/>
      <c r="D69" s="484"/>
      <c r="E69" s="484"/>
      <c r="F69" s="207">
        <f>ROUND(F68*F65,2)</f>
        <v>3.79</v>
      </c>
    </row>
    <row r="70" spans="1:12" x14ac:dyDescent="0.25">
      <c r="B70" s="484" t="s">
        <v>185</v>
      </c>
      <c r="C70" s="484"/>
      <c r="D70" s="484"/>
      <c r="E70" s="484"/>
      <c r="F70" s="206">
        <v>0</v>
      </c>
    </row>
    <row r="71" spans="1:12" x14ac:dyDescent="0.25">
      <c r="B71" s="484" t="s">
        <v>186</v>
      </c>
      <c r="C71" s="484"/>
      <c r="D71" s="484"/>
      <c r="E71" s="484"/>
      <c r="F71" s="207">
        <f>ROUND(F70*F65,2)</f>
        <v>0</v>
      </c>
    </row>
    <row r="72" spans="1:12" x14ac:dyDescent="0.25">
      <c r="B72" s="484" t="s">
        <v>187</v>
      </c>
      <c r="C72" s="484"/>
      <c r="D72" s="484"/>
      <c r="E72" s="484"/>
      <c r="F72" s="206">
        <v>0</v>
      </c>
    </row>
    <row r="73" spans="1:12" x14ac:dyDescent="0.25">
      <c r="B73" s="484" t="s">
        <v>188</v>
      </c>
      <c r="C73" s="484"/>
      <c r="D73" s="484"/>
      <c r="E73" s="484"/>
      <c r="F73" s="207">
        <f>ROUND(F72*F65,2)</f>
        <v>0</v>
      </c>
    </row>
    <row r="74" spans="1:12" x14ac:dyDescent="0.25">
      <c r="B74" s="484" t="s">
        <v>189</v>
      </c>
      <c r="C74" s="484"/>
      <c r="D74" s="484"/>
      <c r="E74" s="484"/>
      <c r="F74" s="208">
        <f>SUM(F67,F69,F71,F73)</f>
        <v>15.66</v>
      </c>
    </row>
    <row r="76" spans="1:12" x14ac:dyDescent="0.25">
      <c r="A76" s="84" t="s">
        <v>20</v>
      </c>
      <c r="B76" s="84" t="s">
        <v>21</v>
      </c>
    </row>
    <row r="78" spans="1:12" x14ac:dyDescent="0.25">
      <c r="B78" s="486" t="s">
        <v>190</v>
      </c>
      <c r="C78" s="486"/>
      <c r="D78" s="486"/>
      <c r="E78" s="486"/>
      <c r="F78" s="486"/>
      <c r="H78" s="486" t="s">
        <v>191</v>
      </c>
      <c r="I78" s="486"/>
      <c r="J78" s="486"/>
      <c r="K78" s="486"/>
      <c r="L78" s="486"/>
    </row>
    <row r="79" spans="1:12" x14ac:dyDescent="0.25">
      <c r="B79" s="485" t="s">
        <v>161</v>
      </c>
      <c r="C79" s="485"/>
      <c r="D79" s="485"/>
      <c r="E79" s="485"/>
      <c r="F79" s="485"/>
      <c r="H79" s="485" t="s">
        <v>154</v>
      </c>
      <c r="I79" s="485"/>
      <c r="J79" s="485"/>
      <c r="K79" s="485"/>
      <c r="L79" s="485"/>
    </row>
    <row r="80" spans="1:12" x14ac:dyDescent="0.25">
      <c r="B80" s="484" t="s">
        <v>156</v>
      </c>
      <c r="C80" s="484"/>
      <c r="D80" s="484"/>
      <c r="E80" s="484"/>
      <c r="F80" s="205">
        <v>1.695E-2</v>
      </c>
      <c r="H80" s="484" t="s">
        <v>156</v>
      </c>
      <c r="I80" s="484"/>
      <c r="J80" s="484"/>
      <c r="K80" s="484"/>
      <c r="L80" s="205">
        <v>1.695E-2</v>
      </c>
    </row>
    <row r="81" spans="1:15" x14ac:dyDescent="0.25">
      <c r="B81" s="484" t="s">
        <v>155</v>
      </c>
      <c r="C81" s="484"/>
      <c r="D81" s="484"/>
      <c r="E81" s="484"/>
      <c r="F81" s="206">
        <v>600</v>
      </c>
      <c r="H81" s="484" t="s">
        <v>155</v>
      </c>
      <c r="I81" s="484"/>
      <c r="J81" s="484"/>
      <c r="K81" s="484"/>
      <c r="L81" s="206">
        <v>846</v>
      </c>
    </row>
    <row r="82" spans="1:15" x14ac:dyDescent="0.25">
      <c r="B82" s="484" t="s">
        <v>182</v>
      </c>
      <c r="C82" s="484"/>
      <c r="D82" s="484"/>
      <c r="E82" s="484"/>
      <c r="F82" s="207">
        <f>F81*F80</f>
        <v>10.17</v>
      </c>
      <c r="H82" s="484" t="s">
        <v>182</v>
      </c>
      <c r="I82" s="484"/>
      <c r="J82" s="484"/>
      <c r="K82" s="484"/>
      <c r="L82" s="207">
        <f>L81*L80</f>
        <v>14.339700000000001</v>
      </c>
      <c r="N82" s="206"/>
      <c r="O82" s="206"/>
    </row>
    <row r="83" spans="1:15" x14ac:dyDescent="0.25">
      <c r="B83" s="484" t="s">
        <v>183</v>
      </c>
      <c r="C83" s="484"/>
      <c r="D83" s="484"/>
      <c r="E83" s="484"/>
      <c r="F83" s="206">
        <v>191.5</v>
      </c>
      <c r="H83" s="484" t="s">
        <v>183</v>
      </c>
      <c r="I83" s="484"/>
      <c r="J83" s="484"/>
      <c r="K83" s="484"/>
      <c r="L83" s="206">
        <v>270</v>
      </c>
    </row>
    <row r="84" spans="1:15" x14ac:dyDescent="0.25">
      <c r="B84" s="484" t="s">
        <v>184</v>
      </c>
      <c r="C84" s="484"/>
      <c r="D84" s="484"/>
      <c r="E84" s="484"/>
      <c r="F84" s="207">
        <f>F83*F80</f>
        <v>3.2459250000000002</v>
      </c>
      <c r="H84" s="484" t="s">
        <v>184</v>
      </c>
      <c r="I84" s="484"/>
      <c r="J84" s="484"/>
      <c r="K84" s="484"/>
      <c r="L84" s="207">
        <f>L83*L80</f>
        <v>4.5765000000000002</v>
      </c>
      <c r="N84" s="206"/>
      <c r="O84" s="206"/>
    </row>
    <row r="85" spans="1:15" x14ac:dyDescent="0.25">
      <c r="B85" s="484" t="s">
        <v>185</v>
      </c>
      <c r="C85" s="484"/>
      <c r="D85" s="484"/>
      <c r="E85" s="484"/>
      <c r="F85" s="206">
        <v>0</v>
      </c>
      <c r="H85" s="484" t="s">
        <v>185</v>
      </c>
      <c r="I85" s="484"/>
      <c r="J85" s="484"/>
      <c r="K85" s="484"/>
      <c r="L85" s="206">
        <v>0</v>
      </c>
      <c r="M85" s="86"/>
    </row>
    <row r="86" spans="1:15" x14ac:dyDescent="0.25">
      <c r="B86" s="484" t="s">
        <v>186</v>
      </c>
      <c r="C86" s="484"/>
      <c r="D86" s="484"/>
      <c r="E86" s="484"/>
      <c r="F86" s="207">
        <f>F85*F80</f>
        <v>0</v>
      </c>
      <c r="H86" s="484" t="s">
        <v>186</v>
      </c>
      <c r="I86" s="484"/>
      <c r="J86" s="484"/>
      <c r="K86" s="484"/>
      <c r="L86" s="207">
        <f>L85*L80</f>
        <v>0</v>
      </c>
      <c r="M86" s="86"/>
    </row>
    <row r="87" spans="1:15" x14ac:dyDescent="0.25">
      <c r="B87" s="484" t="s">
        <v>187</v>
      </c>
      <c r="C87" s="484"/>
      <c r="D87" s="484"/>
      <c r="E87" s="484"/>
      <c r="F87" s="206">
        <v>0</v>
      </c>
      <c r="H87" s="484" t="s">
        <v>187</v>
      </c>
      <c r="I87" s="484"/>
      <c r="J87" s="484"/>
      <c r="K87" s="484"/>
      <c r="L87" s="206">
        <v>0</v>
      </c>
    </row>
    <row r="88" spans="1:15" x14ac:dyDescent="0.25">
      <c r="B88" s="484" t="s">
        <v>188</v>
      </c>
      <c r="C88" s="484"/>
      <c r="D88" s="484"/>
      <c r="E88" s="484"/>
      <c r="F88" s="207">
        <f>F87*F80</f>
        <v>0</v>
      </c>
      <c r="G88" s="86"/>
      <c r="H88" s="484" t="s">
        <v>188</v>
      </c>
      <c r="I88" s="484"/>
      <c r="J88" s="484"/>
      <c r="K88" s="484"/>
      <c r="L88" s="207">
        <f>L87*L80</f>
        <v>0</v>
      </c>
      <c r="M88" s="86"/>
    </row>
    <row r="89" spans="1:15" x14ac:dyDescent="0.25">
      <c r="B89" s="484" t="s">
        <v>192</v>
      </c>
      <c r="C89" s="484"/>
      <c r="D89" s="484"/>
      <c r="E89" s="484"/>
      <c r="F89" s="207">
        <f>SUM(F82,F84,F86,F88)</f>
        <v>13.415925</v>
      </c>
      <c r="G89" s="86"/>
      <c r="H89" s="484" t="s">
        <v>189</v>
      </c>
      <c r="I89" s="484"/>
      <c r="J89" s="484"/>
      <c r="K89" s="484"/>
      <c r="L89" s="207">
        <f>SUM(L82,L84,L86,L88)</f>
        <v>18.9162</v>
      </c>
      <c r="M89" s="86"/>
    </row>
    <row r="90" spans="1:15" x14ac:dyDescent="0.25">
      <c r="F90" s="207"/>
      <c r="G90" s="86"/>
      <c r="L90" s="207"/>
      <c r="M90" s="86"/>
    </row>
    <row r="91" spans="1:15" x14ac:dyDescent="0.25">
      <c r="B91" s="484" t="s">
        <v>193</v>
      </c>
      <c r="C91" s="484"/>
      <c r="D91" s="484"/>
      <c r="E91" s="484"/>
      <c r="F91" s="209">
        <f>ROUND(L89-F89,2)</f>
        <v>5.5</v>
      </c>
      <c r="G91" s="86"/>
      <c r="H91" s="86"/>
      <c r="I91" s="86"/>
      <c r="J91" s="86"/>
      <c r="K91" s="86"/>
      <c r="L91" s="86"/>
    </row>
    <row r="92" spans="1:15" x14ac:dyDescent="0.25">
      <c r="B92" s="86"/>
      <c r="C92" s="86"/>
      <c r="D92" s="87"/>
      <c r="E92" s="88"/>
      <c r="F92" s="88"/>
    </row>
    <row r="93" spans="1:15" x14ac:dyDescent="0.25">
      <c r="A93" s="84" t="s">
        <v>22</v>
      </c>
      <c r="B93" s="84" t="s">
        <v>23</v>
      </c>
      <c r="D93" s="88"/>
    </row>
    <row r="94" spans="1:15" ht="45" customHeight="1" x14ac:dyDescent="0.25">
      <c r="B94" s="459" t="s">
        <v>24</v>
      </c>
      <c r="C94" s="459"/>
      <c r="D94" s="459"/>
      <c r="E94" s="459"/>
      <c r="F94" s="459"/>
      <c r="G94" s="459"/>
      <c r="H94" s="459"/>
      <c r="I94" s="459"/>
    </row>
    <row r="95" spans="1:15" x14ac:dyDescent="0.25">
      <c r="B95" s="88"/>
      <c r="C95" s="88"/>
    </row>
    <row r="96" spans="1:15" x14ac:dyDescent="0.25">
      <c r="B96" s="485" t="s">
        <v>194</v>
      </c>
      <c r="C96" s="485"/>
      <c r="D96" s="485"/>
      <c r="E96" s="485"/>
      <c r="F96" s="485"/>
    </row>
    <row r="97" spans="2:13" x14ac:dyDescent="0.25">
      <c r="B97" s="484" t="s">
        <v>156</v>
      </c>
      <c r="C97" s="484"/>
      <c r="D97" s="484"/>
      <c r="E97" s="484"/>
      <c r="F97" s="205">
        <v>1.695E-2</v>
      </c>
    </row>
    <row r="98" spans="2:13" x14ac:dyDescent="0.25">
      <c r="B98" s="484" t="s">
        <v>155</v>
      </c>
      <c r="C98" s="484"/>
      <c r="D98" s="484"/>
      <c r="E98" s="484"/>
      <c r="F98" s="206">
        <v>624</v>
      </c>
      <c r="G98" s="86"/>
      <c r="H98" s="86"/>
      <c r="I98" s="86"/>
      <c r="J98" s="86"/>
      <c r="K98" s="86"/>
      <c r="L98" s="86"/>
      <c r="M98" s="86"/>
    </row>
    <row r="99" spans="2:13" x14ac:dyDescent="0.25">
      <c r="B99" s="484" t="s">
        <v>182</v>
      </c>
      <c r="C99" s="484"/>
      <c r="D99" s="484"/>
      <c r="E99" s="484"/>
      <c r="F99" s="207">
        <f>ROUND(F98*F97,2)</f>
        <v>10.58</v>
      </c>
      <c r="G99" s="86"/>
      <c r="H99" s="86"/>
      <c r="I99" s="86"/>
      <c r="J99" s="86"/>
      <c r="K99" s="86"/>
      <c r="L99" s="86"/>
      <c r="M99" s="86"/>
    </row>
    <row r="100" spans="2:13" x14ac:dyDescent="0.25">
      <c r="B100" s="484" t="s">
        <v>183</v>
      </c>
      <c r="C100" s="484"/>
      <c r="D100" s="484"/>
      <c r="E100" s="484"/>
      <c r="F100" s="206">
        <v>0</v>
      </c>
      <c r="G100" s="86"/>
      <c r="H100" s="86"/>
      <c r="I100" s="86"/>
      <c r="J100" s="86"/>
      <c r="K100" s="86"/>
      <c r="L100" s="86"/>
      <c r="M100" s="86"/>
    </row>
    <row r="101" spans="2:13" x14ac:dyDescent="0.25">
      <c r="B101" s="484" t="s">
        <v>184</v>
      </c>
      <c r="C101" s="484"/>
      <c r="D101" s="484"/>
      <c r="E101" s="484"/>
      <c r="F101" s="207">
        <f>ROUND(F100*F97,2)</f>
        <v>0</v>
      </c>
    </row>
    <row r="102" spans="2:13" x14ac:dyDescent="0.25">
      <c r="B102" s="484" t="s">
        <v>185</v>
      </c>
      <c r="C102" s="484"/>
      <c r="D102" s="484"/>
      <c r="E102" s="484"/>
      <c r="F102" s="206">
        <v>0</v>
      </c>
    </row>
    <row r="103" spans="2:13" x14ac:dyDescent="0.25">
      <c r="B103" s="484" t="s">
        <v>186</v>
      </c>
      <c r="C103" s="484"/>
      <c r="D103" s="484"/>
      <c r="E103" s="484"/>
      <c r="F103" s="207">
        <f>ROUND(F102*F97,2)</f>
        <v>0</v>
      </c>
    </row>
    <row r="104" spans="2:13" x14ac:dyDescent="0.25">
      <c r="B104" s="484" t="s">
        <v>187</v>
      </c>
      <c r="C104" s="484"/>
      <c r="D104" s="484"/>
      <c r="E104" s="484"/>
      <c r="F104" s="206">
        <v>0</v>
      </c>
    </row>
    <row r="105" spans="2:13" x14ac:dyDescent="0.25">
      <c r="B105" s="484" t="s">
        <v>188</v>
      </c>
      <c r="C105" s="484"/>
      <c r="D105" s="484"/>
      <c r="E105" s="484"/>
      <c r="F105" s="207">
        <f>ROUND(F104*F97,2)</f>
        <v>0</v>
      </c>
    </row>
    <row r="106" spans="2:13" x14ac:dyDescent="0.25">
      <c r="B106" s="484" t="s">
        <v>189</v>
      </c>
      <c r="C106" s="484"/>
      <c r="D106" s="484"/>
      <c r="E106" s="484"/>
      <c r="F106" s="208">
        <f>SUM(F99,F101,F103,F105)</f>
        <v>10.58</v>
      </c>
    </row>
  </sheetData>
  <mergeCells count="97">
    <mergeCell ref="B106:E106"/>
    <mergeCell ref="B58:E58"/>
    <mergeCell ref="H58:K58"/>
    <mergeCell ref="B60:E60"/>
    <mergeCell ref="B64:F64"/>
    <mergeCell ref="B74:E74"/>
    <mergeCell ref="B101:E101"/>
    <mergeCell ref="B102:E102"/>
    <mergeCell ref="B103:E103"/>
    <mergeCell ref="B104:E104"/>
    <mergeCell ref="B105:E105"/>
    <mergeCell ref="B97:E97"/>
    <mergeCell ref="B98:E98"/>
    <mergeCell ref="B99:E99"/>
    <mergeCell ref="B100:E100"/>
    <mergeCell ref="B96:F96"/>
    <mergeCell ref="B94:I94"/>
    <mergeCell ref="B85:E85"/>
    <mergeCell ref="H85:K85"/>
    <mergeCell ref="B86:E86"/>
    <mergeCell ref="H86:K86"/>
    <mergeCell ref="B87:E87"/>
    <mergeCell ref="H87:K87"/>
    <mergeCell ref="B88:E88"/>
    <mergeCell ref="H88:K88"/>
    <mergeCell ref="B89:E89"/>
    <mergeCell ref="H89:K89"/>
    <mergeCell ref="B91:E91"/>
    <mergeCell ref="B82:E82"/>
    <mergeCell ref="H82:K82"/>
    <mergeCell ref="B83:E83"/>
    <mergeCell ref="H83:K83"/>
    <mergeCell ref="B84:E84"/>
    <mergeCell ref="H84:K84"/>
    <mergeCell ref="B80:E80"/>
    <mergeCell ref="H80:K80"/>
    <mergeCell ref="B81:E81"/>
    <mergeCell ref="H81:K81"/>
    <mergeCell ref="B79:F79"/>
    <mergeCell ref="H79:L79"/>
    <mergeCell ref="B72:E72"/>
    <mergeCell ref="B73:E73"/>
    <mergeCell ref="B78:F78"/>
    <mergeCell ref="H78:L78"/>
    <mergeCell ref="B67:E67"/>
    <mergeCell ref="B68:E68"/>
    <mergeCell ref="B69:E69"/>
    <mergeCell ref="B70:E70"/>
    <mergeCell ref="B71:E71"/>
    <mergeCell ref="B65:E65"/>
    <mergeCell ref="B66:E66"/>
    <mergeCell ref="B55:E55"/>
    <mergeCell ref="H55:K55"/>
    <mergeCell ref="B56:E56"/>
    <mergeCell ref="H56:K56"/>
    <mergeCell ref="B57:E57"/>
    <mergeCell ref="H57:K57"/>
    <mergeCell ref="B52:E52"/>
    <mergeCell ref="H52:K52"/>
    <mergeCell ref="B53:E53"/>
    <mergeCell ref="H53:K53"/>
    <mergeCell ref="B54:E54"/>
    <mergeCell ref="H54:K54"/>
    <mergeCell ref="B49:E49"/>
    <mergeCell ref="H49:K49"/>
    <mergeCell ref="B50:E50"/>
    <mergeCell ref="H50:K50"/>
    <mergeCell ref="B51:E51"/>
    <mergeCell ref="H51:K51"/>
    <mergeCell ref="H47:L47"/>
    <mergeCell ref="B48:F48"/>
    <mergeCell ref="H48:L48"/>
    <mergeCell ref="B39:E39"/>
    <mergeCell ref="B40:E40"/>
    <mergeCell ref="B41:E41"/>
    <mergeCell ref="B42:E42"/>
    <mergeCell ref="B43:E43"/>
    <mergeCell ref="B35:E35"/>
    <mergeCell ref="B36:E36"/>
    <mergeCell ref="B37:E37"/>
    <mergeCell ref="B38:E38"/>
    <mergeCell ref="B47:F47"/>
    <mergeCell ref="B27:E27"/>
    <mergeCell ref="B28:E28"/>
    <mergeCell ref="B29:E29"/>
    <mergeCell ref="B33:F33"/>
    <mergeCell ref="B34:E34"/>
    <mergeCell ref="B22:E22"/>
    <mergeCell ref="B23:E23"/>
    <mergeCell ref="B24:E24"/>
    <mergeCell ref="B25:E25"/>
    <mergeCell ref="B26:E26"/>
    <mergeCell ref="A1:I1"/>
    <mergeCell ref="B20:E20"/>
    <mergeCell ref="A3:K6"/>
    <mergeCell ref="B19:F19"/>
    <mergeCell ref="B21:E2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DF594-1BCE-4A86-A752-30CFD0FA4242}">
  <dimension ref="A1:M80"/>
  <sheetViews>
    <sheetView workbookViewId="0">
      <selection sqref="A1:XFD1048576"/>
    </sheetView>
  </sheetViews>
  <sheetFormatPr defaultColWidth="9.140625" defaultRowHeight="15" x14ac:dyDescent="0.25"/>
  <cols>
    <col min="1" max="3" width="9.140625" style="84"/>
    <col min="4" max="4" width="11.28515625" style="84" bestFit="1" customWidth="1"/>
    <col min="5" max="16384" width="9.140625" style="84"/>
  </cols>
  <sheetData>
    <row r="1" spans="1:13" ht="21" x14ac:dyDescent="0.35">
      <c r="A1" s="457" t="s">
        <v>1193</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4" x14ac:dyDescent="0.25">
      <c r="A17" s="84" t="s">
        <v>10</v>
      </c>
      <c r="B17" s="84" t="s">
        <v>11</v>
      </c>
    </row>
    <row r="19" spans="1:4" x14ac:dyDescent="0.25">
      <c r="B19" s="4" t="s">
        <v>195</v>
      </c>
      <c r="C19" s="4"/>
      <c r="D19" s="4"/>
    </row>
    <row r="20" spans="1:4" x14ac:dyDescent="0.25">
      <c r="B20" s="4" t="s">
        <v>196</v>
      </c>
      <c r="C20" s="4"/>
      <c r="D20" s="210">
        <v>1695</v>
      </c>
    </row>
    <row r="21" spans="1:4" x14ac:dyDescent="0.25">
      <c r="B21" s="4" t="s">
        <v>197</v>
      </c>
      <c r="C21" s="4"/>
      <c r="D21" s="211" t="s">
        <v>198</v>
      </c>
    </row>
    <row r="22" spans="1:4" x14ac:dyDescent="0.25">
      <c r="B22" s="4" t="s">
        <v>193</v>
      </c>
      <c r="C22" s="4"/>
      <c r="D22" s="70">
        <v>28.73</v>
      </c>
    </row>
    <row r="27" spans="1:4" x14ac:dyDescent="0.25">
      <c r="A27" s="84" t="s">
        <v>12</v>
      </c>
      <c r="B27" s="84" t="s">
        <v>13</v>
      </c>
    </row>
    <row r="29" spans="1:4" x14ac:dyDescent="0.25">
      <c r="B29" s="4" t="s">
        <v>195</v>
      </c>
      <c r="C29" s="4"/>
      <c r="D29" s="4"/>
    </row>
    <row r="30" spans="1:4" x14ac:dyDescent="0.25">
      <c r="B30" s="4" t="s">
        <v>196</v>
      </c>
      <c r="C30" s="4"/>
      <c r="D30" s="212">
        <v>1695</v>
      </c>
    </row>
    <row r="31" spans="1:4" x14ac:dyDescent="0.25">
      <c r="B31" s="4" t="s">
        <v>197</v>
      </c>
      <c r="C31" s="4"/>
      <c r="D31" s="211" t="s">
        <v>198</v>
      </c>
    </row>
    <row r="32" spans="1:4" x14ac:dyDescent="0.25">
      <c r="B32" s="4" t="s">
        <v>193</v>
      </c>
      <c r="C32" s="4"/>
      <c r="D32" s="70">
        <v>28.73</v>
      </c>
    </row>
    <row r="37" spans="1:5" x14ac:dyDescent="0.25">
      <c r="A37" s="84" t="s">
        <v>15</v>
      </c>
      <c r="B37" s="84" t="s">
        <v>16</v>
      </c>
    </row>
    <row r="39" spans="1:5" x14ac:dyDescent="0.25">
      <c r="B39" s="4" t="s">
        <v>199</v>
      </c>
      <c r="C39" s="4"/>
      <c r="D39" s="4"/>
      <c r="E39"/>
    </row>
    <row r="40" spans="1:5" x14ac:dyDescent="0.25">
      <c r="B40" s="4" t="s">
        <v>200</v>
      </c>
      <c r="C40" s="4"/>
      <c r="D40" s="70">
        <v>1271</v>
      </c>
      <c r="E40"/>
    </row>
    <row r="41" spans="1:5" x14ac:dyDescent="0.25">
      <c r="B41" s="4" t="s">
        <v>197</v>
      </c>
      <c r="C41" s="4"/>
      <c r="D41" s="211" t="s">
        <v>198</v>
      </c>
      <c r="E41"/>
    </row>
    <row r="42" spans="1:5" x14ac:dyDescent="0.25">
      <c r="B42" s="4" t="s">
        <v>201</v>
      </c>
      <c r="C42" s="4"/>
      <c r="D42" s="70">
        <v>21.54</v>
      </c>
      <c r="E42"/>
    </row>
    <row r="43" spans="1:5" x14ac:dyDescent="0.25">
      <c r="B43" s="4" t="s">
        <v>202</v>
      </c>
      <c r="C43" s="4"/>
      <c r="D43" s="70">
        <v>21.54</v>
      </c>
      <c r="E43"/>
    </row>
    <row r="44" spans="1:5" x14ac:dyDescent="0.25">
      <c r="B44" s="4" t="s">
        <v>193</v>
      </c>
      <c r="C44" s="4"/>
      <c r="D44" s="161">
        <v>0</v>
      </c>
      <c r="E44"/>
    </row>
    <row r="47" spans="1:5" x14ac:dyDescent="0.25">
      <c r="A47" s="84" t="s">
        <v>17</v>
      </c>
      <c r="B47" s="84" t="s">
        <v>18</v>
      </c>
    </row>
    <row r="49" spans="1:13" x14ac:dyDescent="0.25">
      <c r="B49" s="213" t="s">
        <v>203</v>
      </c>
      <c r="C49" s="4"/>
      <c r="D49" s="4"/>
      <c r="E49" s="4"/>
      <c r="F49" s="1"/>
      <c r="G49" s="86"/>
      <c r="H49" s="86"/>
      <c r="I49" s="86"/>
      <c r="J49" s="86"/>
      <c r="K49" s="86"/>
      <c r="L49" s="86"/>
      <c r="M49" s="86"/>
    </row>
    <row r="50" spans="1:13" x14ac:dyDescent="0.25">
      <c r="B50" s="4" t="s">
        <v>200</v>
      </c>
      <c r="C50" s="4"/>
      <c r="D50" s="70">
        <v>902</v>
      </c>
      <c r="E50" s="4"/>
      <c r="F50" s="1"/>
      <c r="G50" s="86"/>
      <c r="H50" s="86"/>
      <c r="I50" s="86"/>
      <c r="J50" s="86"/>
      <c r="K50" s="86"/>
      <c r="L50" s="86"/>
      <c r="M50" s="86"/>
    </row>
    <row r="51" spans="1:13" x14ac:dyDescent="0.25">
      <c r="B51" s="4" t="s">
        <v>197</v>
      </c>
      <c r="C51" s="4"/>
      <c r="D51" s="211" t="s">
        <v>198</v>
      </c>
      <c r="E51" s="4"/>
      <c r="F51" s="1"/>
      <c r="G51" s="86"/>
      <c r="H51" s="86"/>
      <c r="I51" s="86"/>
      <c r="J51" s="86"/>
      <c r="K51" s="86"/>
      <c r="L51" s="86"/>
      <c r="M51" s="86"/>
    </row>
    <row r="52" spans="1:13" x14ac:dyDescent="0.25">
      <c r="B52" s="4" t="s">
        <v>204</v>
      </c>
      <c r="C52" s="4"/>
      <c r="D52" s="70">
        <v>15.29</v>
      </c>
      <c r="E52" s="4" t="s">
        <v>207</v>
      </c>
      <c r="F52"/>
    </row>
    <row r="57" spans="1:13" x14ac:dyDescent="0.25">
      <c r="A57" s="84" t="s">
        <v>20</v>
      </c>
      <c r="B57" s="84" t="s">
        <v>21</v>
      </c>
    </row>
    <row r="59" spans="1:13" x14ac:dyDescent="0.25">
      <c r="B59" s="213" t="s">
        <v>205</v>
      </c>
      <c r="C59" s="4"/>
      <c r="D59" s="4"/>
      <c r="E59" s="4"/>
      <c r="F59"/>
    </row>
    <row r="60" spans="1:13" x14ac:dyDescent="0.25">
      <c r="B60" s="4" t="s">
        <v>200</v>
      </c>
      <c r="C60" s="4"/>
      <c r="D60" s="70">
        <v>848</v>
      </c>
      <c r="E60" s="4"/>
      <c r="F60"/>
    </row>
    <row r="61" spans="1:13" x14ac:dyDescent="0.25">
      <c r="B61" s="4" t="s">
        <v>197</v>
      </c>
      <c r="C61" s="4"/>
      <c r="D61" s="214" t="s">
        <v>181</v>
      </c>
      <c r="E61" s="4"/>
      <c r="F61"/>
    </row>
    <row r="62" spans="1:13" x14ac:dyDescent="0.25">
      <c r="B62" s="4" t="s">
        <v>206</v>
      </c>
      <c r="C62" s="4"/>
      <c r="D62" s="70">
        <v>14.37</v>
      </c>
      <c r="E62" s="4" t="s">
        <v>207</v>
      </c>
      <c r="F62"/>
    </row>
    <row r="63" spans="1:13" x14ac:dyDescent="0.25">
      <c r="B63" s="4" t="s">
        <v>208</v>
      </c>
      <c r="C63" s="4"/>
      <c r="D63" s="70">
        <v>13.19</v>
      </c>
      <c r="E63" s="4" t="s">
        <v>209</v>
      </c>
      <c r="F63"/>
    </row>
    <row r="64" spans="1:13" x14ac:dyDescent="0.25">
      <c r="B64" s="4" t="s">
        <v>193</v>
      </c>
      <c r="C64" s="4"/>
      <c r="D64" s="70">
        <v>1.18</v>
      </c>
      <c r="E64" s="4"/>
      <c r="F64"/>
    </row>
    <row r="65" spans="1:13" x14ac:dyDescent="0.25">
      <c r="B65" s="86"/>
      <c r="C65" s="86"/>
      <c r="D65" s="86"/>
      <c r="E65" s="86"/>
      <c r="F65" s="86"/>
      <c r="G65" s="86"/>
      <c r="H65" s="86"/>
      <c r="I65" s="86"/>
      <c r="J65" s="86"/>
      <c r="K65" s="86"/>
      <c r="L65" s="86"/>
      <c r="M65" s="86"/>
    </row>
    <row r="66" spans="1:13" x14ac:dyDescent="0.25">
      <c r="B66" s="86"/>
      <c r="C66" s="86"/>
      <c r="D66" s="86"/>
      <c r="E66" s="86"/>
      <c r="F66" s="86"/>
      <c r="G66" s="86"/>
      <c r="H66" s="86"/>
      <c r="I66" s="86"/>
      <c r="J66" s="86"/>
      <c r="K66" s="86"/>
      <c r="L66" s="86"/>
      <c r="M66" s="86"/>
    </row>
    <row r="67" spans="1:13" x14ac:dyDescent="0.25">
      <c r="A67" s="84" t="s">
        <v>22</v>
      </c>
      <c r="B67" s="84" t="s">
        <v>23</v>
      </c>
    </row>
    <row r="68" spans="1:13" ht="40.5" customHeight="1" x14ac:dyDescent="0.25">
      <c r="B68" s="459" t="s">
        <v>24</v>
      </c>
      <c r="C68" s="459"/>
      <c r="D68" s="459"/>
      <c r="E68" s="459"/>
      <c r="F68" s="459"/>
      <c r="G68" s="459"/>
      <c r="H68" s="459"/>
      <c r="I68" s="459"/>
      <c r="J68" s="459"/>
      <c r="K68" s="459"/>
      <c r="L68" s="86"/>
      <c r="M68" s="86"/>
    </row>
    <row r="69" spans="1:13" x14ac:dyDescent="0.25">
      <c r="B69" s="88"/>
      <c r="C69" s="88"/>
      <c r="D69" s="88"/>
      <c r="E69" s="88"/>
      <c r="F69" s="88"/>
      <c r="G69" s="88"/>
      <c r="H69" s="88"/>
      <c r="I69" s="88"/>
      <c r="J69" s="88"/>
      <c r="K69" s="88"/>
      <c r="L69" s="86"/>
      <c r="M69" s="86"/>
    </row>
    <row r="70" spans="1:13" x14ac:dyDescent="0.25">
      <c r="B70" s="4" t="s">
        <v>210</v>
      </c>
      <c r="C70"/>
      <c r="D70" s="4" t="s">
        <v>211</v>
      </c>
      <c r="E70"/>
      <c r="F70" s="2"/>
      <c r="G70" s="88"/>
      <c r="H70" s="88"/>
      <c r="I70" s="88"/>
      <c r="J70" s="88"/>
      <c r="K70" s="88"/>
      <c r="L70" s="86"/>
      <c r="M70" s="86"/>
    </row>
    <row r="71" spans="1:13" x14ac:dyDescent="0.25">
      <c r="B71" s="4" t="s">
        <v>196</v>
      </c>
      <c r="C71"/>
      <c r="D71" s="70">
        <v>610</v>
      </c>
      <c r="E71"/>
      <c r="F71"/>
    </row>
    <row r="72" spans="1:13" x14ac:dyDescent="0.25">
      <c r="B72" s="4" t="s">
        <v>197</v>
      </c>
      <c r="C72"/>
      <c r="D72" s="211" t="s">
        <v>198</v>
      </c>
      <c r="E72"/>
      <c r="F72"/>
    </row>
    <row r="73" spans="1:13" x14ac:dyDescent="0.25">
      <c r="B73" s="4" t="s">
        <v>193</v>
      </c>
      <c r="C73"/>
      <c r="D73" s="70">
        <v>10.34</v>
      </c>
      <c r="E73"/>
      <c r="F73"/>
    </row>
    <row r="78" spans="1:13" x14ac:dyDescent="0.25">
      <c r="B78" s="86"/>
      <c r="C78" s="86"/>
      <c r="D78" s="86"/>
      <c r="E78" s="86"/>
      <c r="F78" s="86"/>
      <c r="G78" s="86"/>
      <c r="H78" s="86"/>
      <c r="I78" s="86"/>
      <c r="J78" s="86"/>
      <c r="K78" s="86"/>
      <c r="L78" s="86"/>
      <c r="M78" s="86"/>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sheetData>
  <mergeCells count="3">
    <mergeCell ref="A1:I1"/>
    <mergeCell ref="A3:K6"/>
    <mergeCell ref="B68:K6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CC550-E221-4B40-AB7D-9D9C1ACA8F41}">
  <dimension ref="A1:O183"/>
  <sheetViews>
    <sheetView workbookViewId="0">
      <selection sqref="A1:XFD1048576"/>
    </sheetView>
  </sheetViews>
  <sheetFormatPr defaultColWidth="9.140625" defaultRowHeight="15" x14ac:dyDescent="0.25"/>
  <cols>
    <col min="1" max="1" width="9.140625" style="84"/>
    <col min="2" max="2" width="50.5703125" style="84" customWidth="1"/>
    <col min="3" max="3" width="31.42578125" style="84" customWidth="1"/>
    <col min="4" max="16384" width="9.140625" style="84"/>
  </cols>
  <sheetData>
    <row r="1" spans="1:13" ht="21" x14ac:dyDescent="0.35">
      <c r="A1" s="457" t="s">
        <v>1194</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3" x14ac:dyDescent="0.25">
      <c r="A17" s="84" t="s">
        <v>10</v>
      </c>
      <c r="B17" s="84" t="s">
        <v>11</v>
      </c>
    </row>
    <row r="19" spans="1:3" x14ac:dyDescent="0.25">
      <c r="B19" s="487" t="s">
        <v>212</v>
      </c>
      <c r="C19" s="487"/>
    </row>
    <row r="20" spans="1:3" x14ac:dyDescent="0.25">
      <c r="B20" s="215" t="s">
        <v>213</v>
      </c>
      <c r="C20" s="215" t="s">
        <v>1195</v>
      </c>
    </row>
    <row r="21" spans="1:3" x14ac:dyDescent="0.25">
      <c r="B21" s="215" t="s">
        <v>214</v>
      </c>
      <c r="C21" s="215" t="s">
        <v>1196</v>
      </c>
    </row>
    <row r="22" spans="1:3" x14ac:dyDescent="0.25">
      <c r="B22" s="215" t="s">
        <v>215</v>
      </c>
      <c r="C22" s="215" t="s">
        <v>1197</v>
      </c>
    </row>
    <row r="23" spans="1:3" x14ac:dyDescent="0.25">
      <c r="B23" s="215" t="s">
        <v>216</v>
      </c>
      <c r="C23" s="215" t="s">
        <v>1198</v>
      </c>
    </row>
    <row r="24" spans="1:3" x14ac:dyDescent="0.25">
      <c r="B24" s="215" t="s">
        <v>217</v>
      </c>
      <c r="C24" s="215" t="s">
        <v>1199</v>
      </c>
    </row>
    <row r="25" spans="1:3" x14ac:dyDescent="0.25">
      <c r="B25" s="215" t="s">
        <v>218</v>
      </c>
      <c r="C25" s="215" t="s">
        <v>1200</v>
      </c>
    </row>
    <row r="26" spans="1:3" x14ac:dyDescent="0.25">
      <c r="B26" s="215" t="s">
        <v>219</v>
      </c>
      <c r="C26" s="215" t="s">
        <v>220</v>
      </c>
    </row>
    <row r="27" spans="1:3" x14ac:dyDescent="0.25">
      <c r="B27" s="215" t="s">
        <v>221</v>
      </c>
      <c r="C27" s="215" t="s">
        <v>1201</v>
      </c>
    </row>
    <row r="28" spans="1:3" x14ac:dyDescent="0.25">
      <c r="B28" s="215" t="s">
        <v>216</v>
      </c>
      <c r="C28" s="215" t="s">
        <v>1202</v>
      </c>
    </row>
    <row r="29" spans="1:3" x14ac:dyDescent="0.25">
      <c r="B29" s="215" t="s">
        <v>222</v>
      </c>
      <c r="C29" s="215" t="s">
        <v>1203</v>
      </c>
    </row>
    <row r="30" spans="1:3" x14ac:dyDescent="0.25">
      <c r="B30" s="215" t="s">
        <v>223</v>
      </c>
      <c r="C30" s="215" t="s">
        <v>224</v>
      </c>
    </row>
    <row r="31" spans="1:3" x14ac:dyDescent="0.25">
      <c r="B31" s="215" t="s">
        <v>225</v>
      </c>
      <c r="C31" s="215" t="s">
        <v>1204</v>
      </c>
    </row>
    <row r="32" spans="1:3" x14ac:dyDescent="0.25">
      <c r="B32" s="215" t="s">
        <v>226</v>
      </c>
      <c r="C32" s="215" t="s">
        <v>1201</v>
      </c>
    </row>
    <row r="33" spans="1:3" x14ac:dyDescent="0.25">
      <c r="B33" s="215" t="s">
        <v>227</v>
      </c>
      <c r="C33" s="215" t="s">
        <v>1205</v>
      </c>
    </row>
    <row r="34" spans="1:3" x14ac:dyDescent="0.25">
      <c r="B34" s="216" t="s">
        <v>228</v>
      </c>
      <c r="C34" s="217">
        <f>C27+C31</f>
        <v>38.476500000000001</v>
      </c>
    </row>
    <row r="35" spans="1:3" x14ac:dyDescent="0.25">
      <c r="B35" s="218"/>
      <c r="C35" s="219"/>
    </row>
    <row r="36" spans="1:3" x14ac:dyDescent="0.25">
      <c r="B36" s="218"/>
      <c r="C36" s="218"/>
    </row>
    <row r="37" spans="1:3" x14ac:dyDescent="0.25">
      <c r="A37" s="84" t="s">
        <v>12</v>
      </c>
      <c r="B37" s="220" t="s">
        <v>13</v>
      </c>
      <c r="C37"/>
    </row>
    <row r="38" spans="1:3" x14ac:dyDescent="0.25">
      <c r="B38" s="220"/>
      <c r="C38"/>
    </row>
    <row r="39" spans="1:3" x14ac:dyDescent="0.25">
      <c r="B39" s="488" t="s">
        <v>212</v>
      </c>
      <c r="C39" s="488"/>
    </row>
    <row r="40" spans="1:3" x14ac:dyDescent="0.25">
      <c r="B40" s="215" t="s">
        <v>213</v>
      </c>
      <c r="C40" s="215" t="s">
        <v>1195</v>
      </c>
    </row>
    <row r="41" spans="1:3" x14ac:dyDescent="0.25">
      <c r="B41" s="215" t="s">
        <v>214</v>
      </c>
      <c r="C41" s="215" t="s">
        <v>1196</v>
      </c>
    </row>
    <row r="42" spans="1:3" x14ac:dyDescent="0.25">
      <c r="B42" s="215" t="s">
        <v>215</v>
      </c>
      <c r="C42" s="215" t="s">
        <v>1197</v>
      </c>
    </row>
    <row r="43" spans="1:3" x14ac:dyDescent="0.25">
      <c r="B43" s="215" t="s">
        <v>216</v>
      </c>
      <c r="C43" s="215" t="s">
        <v>1198</v>
      </c>
    </row>
    <row r="44" spans="1:3" x14ac:dyDescent="0.25">
      <c r="B44" s="215" t="s">
        <v>217</v>
      </c>
      <c r="C44" s="215" t="s">
        <v>1199</v>
      </c>
    </row>
    <row r="45" spans="1:3" x14ac:dyDescent="0.25">
      <c r="B45" s="215" t="s">
        <v>218</v>
      </c>
      <c r="C45" s="215" t="s">
        <v>1200</v>
      </c>
    </row>
    <row r="46" spans="1:3" x14ac:dyDescent="0.25">
      <c r="B46" s="215" t="s">
        <v>219</v>
      </c>
      <c r="C46" s="215" t="s">
        <v>220</v>
      </c>
    </row>
    <row r="47" spans="1:3" x14ac:dyDescent="0.25">
      <c r="B47" s="215" t="s">
        <v>221</v>
      </c>
      <c r="C47" s="215" t="s">
        <v>1201</v>
      </c>
    </row>
    <row r="48" spans="1:3" x14ac:dyDescent="0.25">
      <c r="B48" s="215" t="s">
        <v>216</v>
      </c>
      <c r="C48" s="215" t="s">
        <v>1202</v>
      </c>
    </row>
    <row r="49" spans="1:3" x14ac:dyDescent="0.25">
      <c r="B49" s="215" t="s">
        <v>222</v>
      </c>
      <c r="C49" s="215" t="s">
        <v>1203</v>
      </c>
    </row>
    <row r="50" spans="1:3" x14ac:dyDescent="0.25">
      <c r="B50" s="215" t="s">
        <v>223</v>
      </c>
      <c r="C50" s="215" t="s">
        <v>224</v>
      </c>
    </row>
    <row r="51" spans="1:3" x14ac:dyDescent="0.25">
      <c r="B51" s="215" t="s">
        <v>225</v>
      </c>
      <c r="C51" s="215" t="s">
        <v>1204</v>
      </c>
    </row>
    <row r="52" spans="1:3" x14ac:dyDescent="0.25">
      <c r="B52" s="215" t="s">
        <v>226</v>
      </c>
      <c r="C52" s="215" t="s">
        <v>1201</v>
      </c>
    </row>
    <row r="53" spans="1:3" x14ac:dyDescent="0.25">
      <c r="B53" s="215" t="s">
        <v>227</v>
      </c>
      <c r="C53" s="221">
        <v>31.7</v>
      </c>
    </row>
    <row r="54" spans="1:3" x14ac:dyDescent="0.25">
      <c r="B54" s="216" t="s">
        <v>228</v>
      </c>
      <c r="C54" s="217">
        <f>C47+C51</f>
        <v>38.476500000000001</v>
      </c>
    </row>
    <row r="57" spans="1:3" x14ac:dyDescent="0.25">
      <c r="A57" s="84" t="s">
        <v>15</v>
      </c>
      <c r="B57" s="84" t="s">
        <v>16</v>
      </c>
    </row>
    <row r="59" spans="1:3" x14ac:dyDescent="0.25">
      <c r="B59" s="488" t="s">
        <v>212</v>
      </c>
      <c r="C59" s="488"/>
    </row>
    <row r="60" spans="1:3" x14ac:dyDescent="0.25">
      <c r="B60" s="215" t="s">
        <v>213</v>
      </c>
      <c r="C60" s="215" t="s">
        <v>1206</v>
      </c>
    </row>
    <row r="61" spans="1:3" x14ac:dyDescent="0.25">
      <c r="B61" s="215" t="s">
        <v>214</v>
      </c>
      <c r="C61" s="215" t="s">
        <v>1206</v>
      </c>
    </row>
    <row r="62" spans="1:3" x14ac:dyDescent="0.25">
      <c r="B62" s="215" t="s">
        <v>215</v>
      </c>
      <c r="C62" s="215" t="s">
        <v>1197</v>
      </c>
    </row>
    <row r="63" spans="1:3" x14ac:dyDescent="0.25">
      <c r="B63" s="215" t="s">
        <v>216</v>
      </c>
      <c r="C63" s="215" t="s">
        <v>1207</v>
      </c>
    </row>
    <row r="64" spans="1:3" x14ac:dyDescent="0.25">
      <c r="B64" s="215" t="s">
        <v>217</v>
      </c>
      <c r="C64" s="215" t="s">
        <v>1208</v>
      </c>
    </row>
    <row r="65" spans="2:3" x14ac:dyDescent="0.25">
      <c r="B65" s="215" t="s">
        <v>218</v>
      </c>
      <c r="C65" s="215" t="s">
        <v>1200</v>
      </c>
    </row>
    <row r="66" spans="2:3" x14ac:dyDescent="0.25">
      <c r="B66" s="215" t="s">
        <v>219</v>
      </c>
      <c r="C66" s="215" t="s">
        <v>229</v>
      </c>
    </row>
    <row r="67" spans="2:3" x14ac:dyDescent="0.25">
      <c r="B67" s="215" t="s">
        <v>221</v>
      </c>
      <c r="C67" s="215" t="s">
        <v>1209</v>
      </c>
    </row>
    <row r="68" spans="2:3" x14ac:dyDescent="0.25">
      <c r="B68" s="215" t="s">
        <v>216</v>
      </c>
      <c r="C68" s="215" t="s">
        <v>1210</v>
      </c>
    </row>
    <row r="69" spans="2:3" x14ac:dyDescent="0.25">
      <c r="B69" s="215" t="s">
        <v>222</v>
      </c>
      <c r="C69" s="215" t="s">
        <v>1211</v>
      </c>
    </row>
    <row r="70" spans="2:3" x14ac:dyDescent="0.25">
      <c r="B70" s="215" t="s">
        <v>223</v>
      </c>
      <c r="C70" s="215" t="s">
        <v>230</v>
      </c>
    </row>
    <row r="71" spans="2:3" x14ac:dyDescent="0.25">
      <c r="B71" s="215" t="s">
        <v>225</v>
      </c>
      <c r="C71" s="215" t="s">
        <v>1212</v>
      </c>
    </row>
    <row r="72" spans="2:3" x14ac:dyDescent="0.25">
      <c r="B72" s="215" t="s">
        <v>226</v>
      </c>
      <c r="C72" s="215" t="s">
        <v>1209</v>
      </c>
    </row>
    <row r="73" spans="2:3" x14ac:dyDescent="0.25">
      <c r="B73" s="215" t="s">
        <v>216</v>
      </c>
      <c r="C73" s="215" t="s">
        <v>1213</v>
      </c>
    </row>
    <row r="74" spans="2:3" x14ac:dyDescent="0.25">
      <c r="B74" s="215" t="s">
        <v>222</v>
      </c>
      <c r="C74" s="215" t="s">
        <v>1211</v>
      </c>
    </row>
    <row r="75" spans="2:3" x14ac:dyDescent="0.25">
      <c r="B75" s="215" t="s">
        <v>227</v>
      </c>
      <c r="C75" s="215" t="s">
        <v>1214</v>
      </c>
    </row>
    <row r="76" spans="2:3" x14ac:dyDescent="0.25">
      <c r="B76" s="488" t="s">
        <v>231</v>
      </c>
      <c r="C76" s="488"/>
    </row>
    <row r="77" spans="2:3" x14ac:dyDescent="0.25">
      <c r="B77" s="215" t="s">
        <v>232</v>
      </c>
      <c r="C77" s="215" t="s">
        <v>1195</v>
      </c>
    </row>
    <row r="78" spans="2:3" x14ac:dyDescent="0.25">
      <c r="B78" s="215" t="s">
        <v>233</v>
      </c>
      <c r="C78" s="215" t="s">
        <v>1196</v>
      </c>
    </row>
    <row r="79" spans="2:3" x14ac:dyDescent="0.25">
      <c r="B79" s="215" t="s">
        <v>234</v>
      </c>
      <c r="C79" s="215" t="s">
        <v>1197</v>
      </c>
    </row>
    <row r="80" spans="2:3" x14ac:dyDescent="0.25">
      <c r="B80" s="215" t="s">
        <v>235</v>
      </c>
      <c r="C80" s="215" t="s">
        <v>1215</v>
      </c>
    </row>
    <row r="81" spans="1:3" x14ac:dyDescent="0.25">
      <c r="B81" s="215" t="s">
        <v>236</v>
      </c>
      <c r="C81" s="215" t="s">
        <v>1216</v>
      </c>
    </row>
    <row r="82" spans="1:3" x14ac:dyDescent="0.25">
      <c r="B82" s="215" t="s">
        <v>237</v>
      </c>
      <c r="C82" s="215" t="s">
        <v>1208</v>
      </c>
    </row>
    <row r="83" spans="1:3" x14ac:dyDescent="0.25">
      <c r="B83" s="215" t="s">
        <v>238</v>
      </c>
      <c r="C83" s="215" t="s">
        <v>229</v>
      </c>
    </row>
    <row r="84" spans="1:3" x14ac:dyDescent="0.25">
      <c r="B84" s="215" t="s">
        <v>239</v>
      </c>
      <c r="C84" s="215" t="s">
        <v>1209</v>
      </c>
    </row>
    <row r="85" spans="1:3" x14ac:dyDescent="0.25">
      <c r="B85" s="215" t="s">
        <v>240</v>
      </c>
      <c r="C85" s="215" t="s">
        <v>230</v>
      </c>
    </row>
    <row r="86" spans="1:3" x14ac:dyDescent="0.25">
      <c r="B86" s="215" t="s">
        <v>241</v>
      </c>
      <c r="C86" s="215" t="s">
        <v>1212</v>
      </c>
    </row>
    <row r="87" spans="1:3" x14ac:dyDescent="0.25">
      <c r="B87" s="215" t="s">
        <v>242</v>
      </c>
      <c r="C87" s="215" t="s">
        <v>1209</v>
      </c>
    </row>
    <row r="88" spans="1:3" x14ac:dyDescent="0.25">
      <c r="B88" s="215" t="s">
        <v>243</v>
      </c>
      <c r="C88" s="215" t="s">
        <v>1214</v>
      </c>
    </row>
    <row r="89" spans="1:3" x14ac:dyDescent="0.25">
      <c r="B89" s="215" t="s">
        <v>244</v>
      </c>
      <c r="C89" s="215" t="s">
        <v>1214</v>
      </c>
    </row>
    <row r="90" spans="1:3" x14ac:dyDescent="0.25">
      <c r="B90" s="216" t="s">
        <v>245</v>
      </c>
      <c r="C90" s="216" t="s">
        <v>246</v>
      </c>
    </row>
    <row r="91" spans="1:3" x14ac:dyDescent="0.25">
      <c r="B91" s="216" t="s">
        <v>247</v>
      </c>
      <c r="C91" s="216" t="s">
        <v>1217</v>
      </c>
    </row>
    <row r="92" spans="1:3" x14ac:dyDescent="0.25">
      <c r="B92" s="216" t="s">
        <v>228</v>
      </c>
      <c r="C92" s="216" t="s">
        <v>1217</v>
      </c>
    </row>
    <row r="95" spans="1:3" x14ac:dyDescent="0.25">
      <c r="A95" s="84" t="s">
        <v>17</v>
      </c>
      <c r="B95" s="84" t="s">
        <v>18</v>
      </c>
    </row>
    <row r="97" spans="2:3" x14ac:dyDescent="0.25">
      <c r="B97" s="488" t="s">
        <v>212</v>
      </c>
      <c r="C97" s="488"/>
    </row>
    <row r="98" spans="2:3" x14ac:dyDescent="0.25">
      <c r="B98" s="215" t="s">
        <v>213</v>
      </c>
      <c r="C98" s="215" t="s">
        <v>1206</v>
      </c>
    </row>
    <row r="99" spans="2:3" x14ac:dyDescent="0.25">
      <c r="B99" s="215" t="s">
        <v>214</v>
      </c>
      <c r="C99" s="215" t="s">
        <v>1206</v>
      </c>
    </row>
    <row r="100" spans="2:3" x14ac:dyDescent="0.25">
      <c r="B100" s="215" t="s">
        <v>215</v>
      </c>
      <c r="C100" s="215" t="s">
        <v>1218</v>
      </c>
    </row>
    <row r="101" spans="2:3" x14ac:dyDescent="0.25">
      <c r="B101" s="215" t="s">
        <v>216</v>
      </c>
      <c r="C101" s="215" t="s">
        <v>1219</v>
      </c>
    </row>
    <row r="102" spans="2:3" x14ac:dyDescent="0.25">
      <c r="B102" s="215" t="s">
        <v>217</v>
      </c>
      <c r="C102" s="215" t="s">
        <v>1220</v>
      </c>
    </row>
    <row r="103" spans="2:3" x14ac:dyDescent="0.25">
      <c r="B103" s="215" t="s">
        <v>218</v>
      </c>
      <c r="C103" s="215" t="s">
        <v>1200</v>
      </c>
    </row>
    <row r="104" spans="2:3" x14ac:dyDescent="0.25">
      <c r="B104" s="215" t="s">
        <v>219</v>
      </c>
      <c r="C104" s="215" t="s">
        <v>248</v>
      </c>
    </row>
    <row r="105" spans="2:3" x14ac:dyDescent="0.25">
      <c r="B105" s="215" t="s">
        <v>221</v>
      </c>
      <c r="C105" s="215" t="s">
        <v>1221</v>
      </c>
    </row>
    <row r="106" spans="2:3" x14ac:dyDescent="0.25">
      <c r="B106" s="215" t="s">
        <v>216</v>
      </c>
      <c r="C106" s="215" t="s">
        <v>1222</v>
      </c>
    </row>
    <row r="107" spans="2:3" x14ac:dyDescent="0.25">
      <c r="B107" s="215" t="s">
        <v>222</v>
      </c>
      <c r="C107" s="215" t="s">
        <v>1223</v>
      </c>
    </row>
    <row r="108" spans="2:3" x14ac:dyDescent="0.25">
      <c r="B108" s="215" t="s">
        <v>223</v>
      </c>
      <c r="C108" s="215" t="s">
        <v>249</v>
      </c>
    </row>
    <row r="109" spans="2:3" x14ac:dyDescent="0.25">
      <c r="B109" s="215" t="s">
        <v>225</v>
      </c>
      <c r="C109" s="215" t="s">
        <v>1224</v>
      </c>
    </row>
    <row r="110" spans="2:3" x14ac:dyDescent="0.25">
      <c r="B110" s="215" t="s">
        <v>226</v>
      </c>
      <c r="C110" s="215" t="s">
        <v>1221</v>
      </c>
    </row>
    <row r="111" spans="2:3" x14ac:dyDescent="0.25">
      <c r="B111" s="215" t="s">
        <v>227</v>
      </c>
      <c r="C111" s="215" t="s">
        <v>1225</v>
      </c>
    </row>
    <row r="112" spans="2:3" x14ac:dyDescent="0.25">
      <c r="B112" s="216" t="s">
        <v>228</v>
      </c>
      <c r="C112" s="217">
        <f>C105+C109</f>
        <v>20.467124999999999</v>
      </c>
    </row>
    <row r="115" spans="1:3" x14ac:dyDescent="0.25">
      <c r="A115" s="84" t="s">
        <v>20</v>
      </c>
      <c r="B115" s="84" t="s">
        <v>21</v>
      </c>
    </row>
    <row r="117" spans="1:3" x14ac:dyDescent="0.25">
      <c r="B117" s="488" t="s">
        <v>212</v>
      </c>
      <c r="C117" s="488"/>
    </row>
    <row r="118" spans="1:3" x14ac:dyDescent="0.25">
      <c r="B118" s="215" t="s">
        <v>213</v>
      </c>
      <c r="C118" s="215" t="s">
        <v>1206</v>
      </c>
    </row>
    <row r="119" spans="1:3" x14ac:dyDescent="0.25">
      <c r="B119" s="215" t="s">
        <v>214</v>
      </c>
      <c r="C119" s="215" t="s">
        <v>1206</v>
      </c>
    </row>
    <row r="120" spans="1:3" x14ac:dyDescent="0.25">
      <c r="B120" s="215" t="s">
        <v>215</v>
      </c>
      <c r="C120" s="215" t="s">
        <v>1197</v>
      </c>
    </row>
    <row r="121" spans="1:3" x14ac:dyDescent="0.25">
      <c r="B121" s="215" t="s">
        <v>216</v>
      </c>
      <c r="C121" s="215" t="s">
        <v>1226</v>
      </c>
    </row>
    <row r="122" spans="1:3" x14ac:dyDescent="0.25">
      <c r="B122" s="215" t="s">
        <v>217</v>
      </c>
      <c r="C122" s="215" t="s">
        <v>1227</v>
      </c>
    </row>
    <row r="123" spans="1:3" x14ac:dyDescent="0.25">
      <c r="B123" s="215" t="s">
        <v>218</v>
      </c>
      <c r="C123" s="215" t="s">
        <v>1200</v>
      </c>
    </row>
    <row r="124" spans="1:3" x14ac:dyDescent="0.25">
      <c r="B124" s="215" t="s">
        <v>219</v>
      </c>
      <c r="C124" s="215" t="s">
        <v>252</v>
      </c>
    </row>
    <row r="125" spans="1:3" x14ac:dyDescent="0.25">
      <c r="B125" s="215" t="s">
        <v>221</v>
      </c>
      <c r="C125" s="215" t="s">
        <v>1228</v>
      </c>
    </row>
    <row r="126" spans="1:3" x14ac:dyDescent="0.25">
      <c r="B126" s="215" t="s">
        <v>216</v>
      </c>
      <c r="C126" s="215" t="s">
        <v>1229</v>
      </c>
    </row>
    <row r="127" spans="1:3" x14ac:dyDescent="0.25">
      <c r="B127" s="215" t="s">
        <v>222</v>
      </c>
      <c r="C127" s="215" t="s">
        <v>1230</v>
      </c>
    </row>
    <row r="128" spans="1:3" x14ac:dyDescent="0.25">
      <c r="B128" s="215" t="s">
        <v>223</v>
      </c>
      <c r="C128" s="215" t="s">
        <v>251</v>
      </c>
    </row>
    <row r="129" spans="2:3" x14ac:dyDescent="0.25">
      <c r="B129" s="215" t="s">
        <v>225</v>
      </c>
      <c r="C129" s="215" t="s">
        <v>1231</v>
      </c>
    </row>
    <row r="130" spans="2:3" x14ac:dyDescent="0.25">
      <c r="B130" s="215" t="s">
        <v>226</v>
      </c>
      <c r="C130" s="215" t="s">
        <v>1228</v>
      </c>
    </row>
    <row r="131" spans="2:3" x14ac:dyDescent="0.25">
      <c r="B131" s="215" t="s">
        <v>216</v>
      </c>
      <c r="C131" s="215" t="s">
        <v>1232</v>
      </c>
    </row>
    <row r="132" spans="2:3" x14ac:dyDescent="0.25">
      <c r="B132" s="215" t="s">
        <v>222</v>
      </c>
      <c r="C132" s="215" t="s">
        <v>1230</v>
      </c>
    </row>
    <row r="133" spans="2:3" x14ac:dyDescent="0.25">
      <c r="B133" s="215" t="s">
        <v>216</v>
      </c>
      <c r="C133" s="215" t="s">
        <v>1229</v>
      </c>
    </row>
    <row r="134" spans="2:3" x14ac:dyDescent="0.25">
      <c r="B134" s="215" t="s">
        <v>222</v>
      </c>
      <c r="C134" s="215" t="s">
        <v>1230</v>
      </c>
    </row>
    <row r="135" spans="2:3" x14ac:dyDescent="0.25">
      <c r="B135" s="215" t="s">
        <v>227</v>
      </c>
      <c r="C135" s="215" t="s">
        <v>1233</v>
      </c>
    </row>
    <row r="136" spans="2:3" x14ac:dyDescent="0.25">
      <c r="B136" s="488" t="s">
        <v>231</v>
      </c>
      <c r="C136" s="488"/>
    </row>
    <row r="137" spans="2:3" x14ac:dyDescent="0.25">
      <c r="B137" s="215" t="s">
        <v>232</v>
      </c>
      <c r="C137" s="215" t="s">
        <v>1206</v>
      </c>
    </row>
    <row r="138" spans="2:3" x14ac:dyDescent="0.25">
      <c r="B138" s="215" t="s">
        <v>233</v>
      </c>
      <c r="C138" s="215" t="s">
        <v>1206</v>
      </c>
    </row>
    <row r="139" spans="2:3" x14ac:dyDescent="0.25">
      <c r="B139" s="215" t="s">
        <v>234</v>
      </c>
      <c r="C139" s="215" t="s">
        <v>1218</v>
      </c>
    </row>
    <row r="140" spans="2:3" x14ac:dyDescent="0.25">
      <c r="B140" s="215" t="s">
        <v>235</v>
      </c>
      <c r="C140" s="215" t="s">
        <v>1215</v>
      </c>
    </row>
    <row r="141" spans="2:3" x14ac:dyDescent="0.25">
      <c r="B141" s="215" t="s">
        <v>236</v>
      </c>
      <c r="C141" s="215" t="s">
        <v>1234</v>
      </c>
    </row>
    <row r="142" spans="2:3" x14ac:dyDescent="0.25">
      <c r="B142" s="215" t="s">
        <v>237</v>
      </c>
      <c r="C142" s="215" t="s">
        <v>1235</v>
      </c>
    </row>
    <row r="143" spans="2:3" x14ac:dyDescent="0.25">
      <c r="B143" s="215" t="s">
        <v>238</v>
      </c>
      <c r="C143" s="215" t="s">
        <v>250</v>
      </c>
    </row>
    <row r="144" spans="2:3" x14ac:dyDescent="0.25">
      <c r="B144" s="215" t="s">
        <v>239</v>
      </c>
      <c r="C144" s="215" t="s">
        <v>1236</v>
      </c>
    </row>
    <row r="145" spans="2:3" x14ac:dyDescent="0.25">
      <c r="B145" s="215" t="s">
        <v>240</v>
      </c>
      <c r="C145" s="215" t="s">
        <v>251</v>
      </c>
    </row>
    <row r="146" spans="2:3" x14ac:dyDescent="0.25">
      <c r="B146" s="215" t="s">
        <v>241</v>
      </c>
      <c r="C146" s="215" t="s">
        <v>1231</v>
      </c>
    </row>
    <row r="147" spans="2:3" x14ac:dyDescent="0.25">
      <c r="B147" s="215" t="s">
        <v>242</v>
      </c>
      <c r="C147" s="215" t="s">
        <v>1236</v>
      </c>
    </row>
    <row r="148" spans="2:3" x14ac:dyDescent="0.25">
      <c r="B148" s="215" t="s">
        <v>243</v>
      </c>
      <c r="C148" s="215" t="s">
        <v>1237</v>
      </c>
    </row>
    <row r="149" spans="2:3" x14ac:dyDescent="0.25">
      <c r="B149" s="215" t="s">
        <v>234</v>
      </c>
      <c r="C149" s="215" t="s">
        <v>1197</v>
      </c>
    </row>
    <row r="150" spans="2:3" x14ac:dyDescent="0.25">
      <c r="B150" s="215" t="s">
        <v>235</v>
      </c>
      <c r="C150" s="215" t="s">
        <v>1215</v>
      </c>
    </row>
    <row r="151" spans="2:3" x14ac:dyDescent="0.25">
      <c r="B151" s="215" t="s">
        <v>236</v>
      </c>
      <c r="C151" s="215" t="s">
        <v>1226</v>
      </c>
    </row>
    <row r="152" spans="2:3" x14ac:dyDescent="0.25">
      <c r="B152" s="215" t="s">
        <v>237</v>
      </c>
      <c r="C152" s="215" t="s">
        <v>1227</v>
      </c>
    </row>
    <row r="153" spans="2:3" x14ac:dyDescent="0.25">
      <c r="B153" s="215" t="s">
        <v>238</v>
      </c>
      <c r="C153" s="215" t="s">
        <v>252</v>
      </c>
    </row>
    <row r="154" spans="2:3" x14ac:dyDescent="0.25">
      <c r="B154" s="215" t="s">
        <v>239</v>
      </c>
      <c r="C154" s="215" t="s">
        <v>1228</v>
      </c>
    </row>
    <row r="155" spans="2:3" x14ac:dyDescent="0.25">
      <c r="B155" s="215" t="s">
        <v>240</v>
      </c>
      <c r="C155" s="215" t="s">
        <v>251</v>
      </c>
    </row>
    <row r="156" spans="2:3" x14ac:dyDescent="0.25">
      <c r="B156" s="215" t="s">
        <v>241</v>
      </c>
      <c r="C156" s="215" t="s">
        <v>1231</v>
      </c>
    </row>
    <row r="157" spans="2:3" x14ac:dyDescent="0.25">
      <c r="B157" s="215" t="s">
        <v>242</v>
      </c>
      <c r="C157" s="215" t="s">
        <v>1228</v>
      </c>
    </row>
    <row r="158" spans="2:3" x14ac:dyDescent="0.25">
      <c r="B158" s="215" t="s">
        <v>243</v>
      </c>
      <c r="C158" s="215" t="s">
        <v>1233</v>
      </c>
    </row>
    <row r="159" spans="2:3" x14ac:dyDescent="0.25">
      <c r="B159" s="215" t="s">
        <v>244</v>
      </c>
      <c r="C159" s="215" t="s">
        <v>1237</v>
      </c>
    </row>
    <row r="160" spans="2:3" x14ac:dyDescent="0.25">
      <c r="B160" s="216" t="s">
        <v>245</v>
      </c>
      <c r="C160" s="216" t="s">
        <v>253</v>
      </c>
    </row>
    <row r="161" spans="1:15" x14ac:dyDescent="0.25">
      <c r="B161" s="216" t="s">
        <v>247</v>
      </c>
      <c r="C161" s="217">
        <v>1.7</v>
      </c>
    </row>
    <row r="162" spans="1:15" x14ac:dyDescent="0.25">
      <c r="B162" s="216" t="s">
        <v>228</v>
      </c>
      <c r="C162" s="217">
        <v>1.7</v>
      </c>
    </row>
    <row r="163" spans="1:15" x14ac:dyDescent="0.25">
      <c r="B163" s="86"/>
      <c r="C163" s="86"/>
      <c r="D163" s="86"/>
      <c r="E163" s="86"/>
      <c r="F163" s="86"/>
      <c r="G163" s="86"/>
      <c r="H163" s="86"/>
      <c r="I163" s="86"/>
      <c r="J163" s="86"/>
      <c r="K163" s="86"/>
      <c r="L163" s="86"/>
      <c r="M163" s="86"/>
    </row>
    <row r="164" spans="1:15" x14ac:dyDescent="0.25">
      <c r="B164" s="86"/>
      <c r="C164" s="86"/>
      <c r="D164" s="86"/>
      <c r="E164" s="86"/>
      <c r="F164" s="86"/>
      <c r="G164" s="86"/>
      <c r="H164" s="86"/>
      <c r="I164" s="86"/>
      <c r="J164" s="86"/>
      <c r="K164" s="86"/>
      <c r="L164" s="86"/>
      <c r="M164" s="86"/>
    </row>
    <row r="165" spans="1:15" x14ac:dyDescent="0.25">
      <c r="A165" s="84" t="s">
        <v>22</v>
      </c>
      <c r="B165" s="84" t="s">
        <v>23</v>
      </c>
    </row>
    <row r="166" spans="1:15" ht="40.5" customHeight="1" x14ac:dyDescent="0.25">
      <c r="B166" s="459" t="s">
        <v>24</v>
      </c>
      <c r="C166" s="459"/>
      <c r="D166" s="459"/>
      <c r="E166" s="459"/>
      <c r="F166" s="459"/>
      <c r="G166" s="459"/>
      <c r="H166" s="459"/>
      <c r="I166" s="459"/>
      <c r="J166" s="459"/>
      <c r="K166" s="459"/>
      <c r="L166" s="86"/>
      <c r="M166" s="86"/>
    </row>
    <row r="167" spans="1:15" x14ac:dyDescent="0.25">
      <c r="B167" s="88"/>
      <c r="C167" s="88"/>
      <c r="D167" s="88"/>
      <c r="E167" s="88"/>
      <c r="F167" s="88"/>
      <c r="G167" s="88"/>
      <c r="H167" s="88"/>
      <c r="I167" s="88"/>
      <c r="J167" s="88"/>
      <c r="K167" s="88"/>
      <c r="L167" s="86"/>
      <c r="M167" s="86"/>
    </row>
    <row r="168" spans="1:15" x14ac:dyDescent="0.25">
      <c r="B168" s="488" t="s">
        <v>212</v>
      </c>
      <c r="C168" s="488"/>
      <c r="D168" s="88"/>
      <c r="E168" s="88"/>
      <c r="F168" s="88"/>
      <c r="G168" s="88"/>
      <c r="H168" s="88"/>
      <c r="I168" s="88"/>
      <c r="J168" s="88"/>
      <c r="K168" s="88"/>
      <c r="L168" s="88"/>
      <c r="M168" s="88"/>
      <c r="N168" s="86"/>
      <c r="O168" s="86"/>
    </row>
    <row r="169" spans="1:15" x14ac:dyDescent="0.25">
      <c r="B169" s="215" t="s">
        <v>213</v>
      </c>
      <c r="C169" s="215" t="s">
        <v>1195</v>
      </c>
    </row>
    <row r="170" spans="1:15" x14ac:dyDescent="0.25">
      <c r="B170" s="215" t="s">
        <v>214</v>
      </c>
      <c r="C170" s="215" t="s">
        <v>1196</v>
      </c>
    </row>
    <row r="171" spans="1:15" x14ac:dyDescent="0.25">
      <c r="B171" s="215" t="s">
        <v>215</v>
      </c>
      <c r="C171" s="215" t="s">
        <v>1238</v>
      </c>
    </row>
    <row r="172" spans="1:15" x14ac:dyDescent="0.25">
      <c r="B172" s="215" t="s">
        <v>216</v>
      </c>
      <c r="C172" s="215" t="s">
        <v>1239</v>
      </c>
    </row>
    <row r="173" spans="1:15" x14ac:dyDescent="0.25">
      <c r="B173" s="215" t="s">
        <v>217</v>
      </c>
      <c r="C173" s="215" t="s">
        <v>1240</v>
      </c>
    </row>
    <row r="174" spans="1:15" x14ac:dyDescent="0.25">
      <c r="B174" s="215" t="s">
        <v>218</v>
      </c>
      <c r="C174" s="215" t="s">
        <v>1200</v>
      </c>
    </row>
    <row r="175" spans="1:15" x14ac:dyDescent="0.25">
      <c r="B175" s="215" t="s">
        <v>219</v>
      </c>
      <c r="C175" s="215" t="s">
        <v>254</v>
      </c>
    </row>
    <row r="176" spans="1:15" x14ac:dyDescent="0.25">
      <c r="B176" s="215" t="s">
        <v>221</v>
      </c>
      <c r="C176" s="215" t="s">
        <v>1241</v>
      </c>
      <c r="D176" s="86"/>
      <c r="E176" s="86"/>
      <c r="F176" s="86"/>
      <c r="G176" s="86"/>
      <c r="H176" s="86"/>
      <c r="I176" s="86"/>
      <c r="J176" s="86"/>
      <c r="K176" s="86"/>
      <c r="L176" s="86"/>
      <c r="M176" s="86"/>
      <c r="N176" s="86"/>
      <c r="O176" s="86"/>
    </row>
    <row r="177" spans="2:15" x14ac:dyDescent="0.25">
      <c r="B177" s="215" t="s">
        <v>216</v>
      </c>
      <c r="C177" s="215" t="s">
        <v>1242</v>
      </c>
      <c r="D177" s="86"/>
      <c r="E177" s="86"/>
      <c r="F177" s="86"/>
      <c r="G177" s="86"/>
      <c r="H177" s="86"/>
      <c r="I177" s="86"/>
      <c r="J177" s="86"/>
      <c r="K177" s="86"/>
      <c r="L177" s="86"/>
      <c r="M177" s="86"/>
      <c r="N177" s="86"/>
      <c r="O177" s="86"/>
    </row>
    <row r="178" spans="2:15" x14ac:dyDescent="0.25">
      <c r="B178" s="215" t="s">
        <v>222</v>
      </c>
      <c r="C178" s="215" t="s">
        <v>1243</v>
      </c>
      <c r="D178" s="86"/>
      <c r="E178" s="86"/>
      <c r="F178" s="86"/>
      <c r="G178" s="86"/>
      <c r="H178" s="86"/>
      <c r="I178" s="86"/>
      <c r="J178" s="86"/>
      <c r="K178" s="86"/>
      <c r="L178" s="86"/>
      <c r="M178" s="86"/>
      <c r="N178" s="86"/>
      <c r="O178" s="86"/>
    </row>
    <row r="179" spans="2:15" x14ac:dyDescent="0.25">
      <c r="B179" s="215" t="s">
        <v>223</v>
      </c>
      <c r="C179" s="215" t="s">
        <v>255</v>
      </c>
    </row>
    <row r="180" spans="2:15" x14ac:dyDescent="0.25">
      <c r="B180" s="215" t="s">
        <v>225</v>
      </c>
      <c r="C180" s="215" t="s">
        <v>1244</v>
      </c>
    </row>
    <row r="181" spans="2:15" x14ac:dyDescent="0.25">
      <c r="B181" s="215" t="s">
        <v>226</v>
      </c>
      <c r="C181" s="215" t="s">
        <v>1241</v>
      </c>
    </row>
    <row r="182" spans="2:15" x14ac:dyDescent="0.25">
      <c r="B182" s="215" t="s">
        <v>227</v>
      </c>
      <c r="C182" s="215" t="s">
        <v>1245</v>
      </c>
    </row>
    <row r="183" spans="2:15" x14ac:dyDescent="0.25">
      <c r="B183" s="216" t="s">
        <v>228</v>
      </c>
      <c r="C183" s="217">
        <f>C176+C180</f>
        <v>15.678750000000001</v>
      </c>
    </row>
  </sheetData>
  <mergeCells count="11">
    <mergeCell ref="B168:C168"/>
    <mergeCell ref="B76:C76"/>
    <mergeCell ref="B97:C97"/>
    <mergeCell ref="B117:C117"/>
    <mergeCell ref="B136:C136"/>
    <mergeCell ref="B166:K166"/>
    <mergeCell ref="A1:I1"/>
    <mergeCell ref="A3:K6"/>
    <mergeCell ref="B19:C19"/>
    <mergeCell ref="B39:C39"/>
    <mergeCell ref="B59:C5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1F958-81BC-4AA7-BB36-D12A80C57F63}">
  <dimension ref="A1:O169"/>
  <sheetViews>
    <sheetView workbookViewId="0">
      <selection sqref="A1:XFD1048576"/>
    </sheetView>
  </sheetViews>
  <sheetFormatPr defaultRowHeight="15" x14ac:dyDescent="0.25"/>
  <cols>
    <col min="6" max="6" width="12" customWidth="1"/>
    <col min="7" max="7" width="14.28515625" customWidth="1"/>
  </cols>
  <sheetData>
    <row r="1" spans="1:11" ht="20.25" x14ac:dyDescent="0.3">
      <c r="A1" s="472" t="s">
        <v>1246</v>
      </c>
      <c r="B1" s="472"/>
      <c r="C1" s="472"/>
      <c r="D1" s="472"/>
      <c r="E1" s="472"/>
      <c r="F1" s="472"/>
      <c r="G1" s="472"/>
      <c r="H1" s="472"/>
      <c r="I1" s="472"/>
    </row>
    <row r="2" spans="1:11" x14ac:dyDescent="0.25">
      <c r="A2" s="489" t="s">
        <v>1247</v>
      </c>
      <c r="B2" s="463"/>
      <c r="C2" s="463"/>
      <c r="D2" s="463"/>
      <c r="E2" s="463"/>
      <c r="F2" s="463"/>
      <c r="G2" s="463"/>
      <c r="H2" s="463"/>
      <c r="I2" s="463"/>
      <c r="J2" s="463"/>
      <c r="K2" s="463"/>
    </row>
    <row r="3" spans="1:11" x14ac:dyDescent="0.25">
      <c r="A3" s="463"/>
      <c r="B3" s="463"/>
      <c r="C3" s="463"/>
      <c r="D3" s="463"/>
      <c r="E3" s="463"/>
      <c r="F3" s="463"/>
      <c r="G3" s="463"/>
      <c r="H3" s="463"/>
      <c r="I3" s="463"/>
      <c r="J3" s="463"/>
      <c r="K3" s="463"/>
    </row>
    <row r="4" spans="1:11" x14ac:dyDescent="0.25">
      <c r="A4" s="463"/>
      <c r="B4" s="463"/>
      <c r="C4" s="463"/>
      <c r="D4" s="463"/>
      <c r="E4" s="463"/>
      <c r="F4" s="463"/>
      <c r="G4" s="463"/>
      <c r="H4" s="463"/>
      <c r="I4" s="463"/>
      <c r="J4" s="463"/>
      <c r="K4" s="463"/>
    </row>
    <row r="5" spans="1:11" x14ac:dyDescent="0.25">
      <c r="A5" s="463"/>
      <c r="B5" s="463"/>
      <c r="C5" s="463"/>
      <c r="D5" s="463"/>
      <c r="E5" s="463"/>
      <c r="F5" s="463"/>
      <c r="G5" s="463"/>
      <c r="H5" s="463"/>
      <c r="I5" s="463"/>
      <c r="J5" s="463"/>
      <c r="K5" s="463"/>
    </row>
    <row r="7" spans="1:11" x14ac:dyDescent="0.25">
      <c r="A7" s="48"/>
      <c r="C7" s="48"/>
    </row>
    <row r="8" spans="1:11" x14ac:dyDescent="0.25">
      <c r="A8" s="222" t="s">
        <v>1248</v>
      </c>
    </row>
    <row r="9" spans="1:11" x14ac:dyDescent="0.25">
      <c r="A9" s="48" t="s">
        <v>1249</v>
      </c>
      <c r="B9" s="1"/>
      <c r="C9" s="1"/>
      <c r="D9" s="1"/>
      <c r="E9" s="1"/>
    </row>
    <row r="10" spans="1:11" x14ac:dyDescent="0.25">
      <c r="A10" s="48" t="s">
        <v>1250</v>
      </c>
      <c r="B10" s="1"/>
      <c r="C10" s="1"/>
      <c r="D10" s="1"/>
      <c r="E10" s="1"/>
    </row>
    <row r="11" spans="1:11" x14ac:dyDescent="0.25">
      <c r="A11" s="56" t="s">
        <v>1251</v>
      </c>
      <c r="B11" s="1"/>
      <c r="C11" s="1"/>
      <c r="D11" s="1"/>
      <c r="E11" s="1"/>
    </row>
    <row r="12" spans="1:11" x14ac:dyDescent="0.25">
      <c r="A12" s="223" t="s">
        <v>1252</v>
      </c>
      <c r="B12" s="1"/>
      <c r="C12" s="1"/>
      <c r="D12" s="1"/>
      <c r="E12" s="1"/>
    </row>
    <row r="13" spans="1:11" x14ac:dyDescent="0.25">
      <c r="A13" s="224" t="s">
        <v>1253</v>
      </c>
      <c r="B13" s="225">
        <v>2026</v>
      </c>
      <c r="C13" s="226"/>
      <c r="D13" s="226"/>
      <c r="E13" s="1"/>
    </row>
    <row r="14" spans="1:11" x14ac:dyDescent="0.25">
      <c r="A14" s="224" t="s">
        <v>1254</v>
      </c>
      <c r="B14" s="227">
        <v>-2025</v>
      </c>
      <c r="C14" s="224"/>
      <c r="D14" s="224"/>
    </row>
    <row r="15" spans="1:11" x14ac:dyDescent="0.25">
      <c r="A15" s="224"/>
      <c r="B15" s="224" t="s">
        <v>1255</v>
      </c>
      <c r="C15" s="228"/>
      <c r="D15" s="224"/>
    </row>
    <row r="16" spans="1:11" x14ac:dyDescent="0.25">
      <c r="A16" s="48"/>
      <c r="B16" s="48"/>
      <c r="C16" s="48"/>
      <c r="D16" s="48"/>
      <c r="E16" s="48"/>
    </row>
    <row r="17" spans="1:13" x14ac:dyDescent="0.25">
      <c r="A17" s="490" t="s">
        <v>1256</v>
      </c>
      <c r="B17" s="491"/>
      <c r="C17" s="491"/>
      <c r="D17" s="491"/>
      <c r="E17" s="491"/>
      <c r="F17" s="491"/>
      <c r="G17" s="491"/>
      <c r="H17" s="491"/>
      <c r="I17" s="491"/>
      <c r="J17" s="491"/>
    </row>
    <row r="18" spans="1:13" ht="12" customHeight="1" x14ac:dyDescent="0.25">
      <c r="A18" s="491"/>
      <c r="B18" s="491"/>
      <c r="C18" s="491"/>
      <c r="D18" s="491"/>
      <c r="E18" s="491"/>
      <c r="F18" s="491"/>
      <c r="G18" s="491"/>
      <c r="H18" s="491"/>
      <c r="I18" s="491"/>
      <c r="J18" s="491"/>
    </row>
    <row r="19" spans="1:13" hidden="1" x14ac:dyDescent="0.25"/>
    <row r="20" spans="1:13" hidden="1" x14ac:dyDescent="0.25">
      <c r="B20" s="1"/>
      <c r="C20" s="1"/>
      <c r="D20" s="1"/>
      <c r="E20" s="1"/>
    </row>
    <row r="21" spans="1:13" hidden="1" x14ac:dyDescent="0.25">
      <c r="B21" s="1"/>
      <c r="C21" s="1"/>
      <c r="D21" s="1"/>
      <c r="E21" s="1"/>
    </row>
    <row r="22" spans="1:13" hidden="1" x14ac:dyDescent="0.25">
      <c r="A22" s="218"/>
      <c r="B22" s="229"/>
      <c r="C22" s="218"/>
      <c r="D22" s="229"/>
      <c r="E22" s="229"/>
      <c r="F22" s="229"/>
      <c r="G22" s="68"/>
      <c r="L22" s="230"/>
      <c r="M22" s="230"/>
    </row>
    <row r="23" spans="1:13" hidden="1" x14ac:dyDescent="0.25">
      <c r="A23" s="229"/>
      <c r="B23" s="229"/>
      <c r="C23" s="229"/>
      <c r="D23" s="229"/>
      <c r="E23" s="229"/>
      <c r="F23" s="229"/>
      <c r="G23" s="231"/>
      <c r="L23" s="232"/>
      <c r="M23" s="233"/>
    </row>
    <row r="24" spans="1:13" ht="17.25" hidden="1" x14ac:dyDescent="0.4">
      <c r="A24" s="229"/>
      <c r="B24" s="234"/>
      <c r="C24" s="229"/>
      <c r="D24" s="234"/>
      <c r="E24" s="229"/>
      <c r="F24" s="229"/>
      <c r="G24" s="234"/>
      <c r="L24" s="232"/>
      <c r="M24" s="233"/>
    </row>
    <row r="25" spans="1:13" hidden="1" x14ac:dyDescent="0.25">
      <c r="A25" s="229"/>
      <c r="B25" s="229"/>
      <c r="C25" s="229"/>
      <c r="D25" s="229"/>
      <c r="E25" s="229"/>
      <c r="F25" s="229"/>
      <c r="G25" s="231"/>
      <c r="L25" s="232"/>
      <c r="M25" s="233"/>
    </row>
    <row r="26" spans="1:13" ht="16.5" hidden="1" customHeight="1" x14ac:dyDescent="0.4">
      <c r="A26" s="229"/>
      <c r="B26" s="234"/>
      <c r="C26" s="229"/>
      <c r="D26" s="234"/>
      <c r="E26" s="229"/>
      <c r="F26" s="229"/>
      <c r="G26" s="235"/>
      <c r="L26" s="232"/>
      <c r="M26" s="233"/>
    </row>
    <row r="27" spans="1:13" hidden="1" x14ac:dyDescent="0.25">
      <c r="C27" s="229"/>
      <c r="G27" s="51"/>
      <c r="I27" s="48"/>
      <c r="L27" s="232"/>
      <c r="M27" s="233"/>
    </row>
    <row r="28" spans="1:13" hidden="1" x14ac:dyDescent="0.25">
      <c r="L28" s="232"/>
      <c r="M28" s="233"/>
    </row>
    <row r="30" spans="1:13" x14ac:dyDescent="0.25">
      <c r="A30" t="s">
        <v>10</v>
      </c>
      <c r="B30" t="s">
        <v>11</v>
      </c>
    </row>
    <row r="32" spans="1:13" x14ac:dyDescent="0.25">
      <c r="B32" s="50" t="s">
        <v>25</v>
      </c>
      <c r="D32" s="48" t="s">
        <v>1257</v>
      </c>
    </row>
    <row r="33" spans="1:13" x14ac:dyDescent="0.25">
      <c r="C33" s="76" t="s">
        <v>1258</v>
      </c>
      <c r="G33" s="68">
        <v>1440</v>
      </c>
      <c r="L33" s="230"/>
      <c r="M33" s="230"/>
    </row>
    <row r="34" spans="1:13" x14ac:dyDescent="0.25">
      <c r="C34" s="76" t="s">
        <v>1259</v>
      </c>
      <c r="G34" s="236" t="s">
        <v>1260</v>
      </c>
      <c r="L34" s="232"/>
      <c r="M34" s="233"/>
    </row>
    <row r="35" spans="1:13" x14ac:dyDescent="0.25">
      <c r="C35" s="76" t="s">
        <v>1261</v>
      </c>
      <c r="G35" s="237">
        <v>24.41</v>
      </c>
      <c r="L35" s="232"/>
      <c r="M35" s="233"/>
    </row>
    <row r="36" spans="1:13" x14ac:dyDescent="0.25">
      <c r="C36" s="76"/>
      <c r="L36" s="232"/>
      <c r="M36" s="233"/>
    </row>
    <row r="37" spans="1:13" x14ac:dyDescent="0.25">
      <c r="B37" s="1" t="s">
        <v>2</v>
      </c>
      <c r="C37" s="1" t="s">
        <v>1262</v>
      </c>
      <c r="D37" s="1"/>
      <c r="E37" s="1"/>
      <c r="L37" s="232"/>
      <c r="M37" s="233"/>
    </row>
    <row r="38" spans="1:13" x14ac:dyDescent="0.25">
      <c r="B38" s="1"/>
      <c r="C38" s="1" t="s">
        <v>1263</v>
      </c>
      <c r="D38" s="1"/>
      <c r="E38" s="1"/>
      <c r="L38" s="4" t="s">
        <v>258</v>
      </c>
    </row>
    <row r="39" spans="1:13" x14ac:dyDescent="0.25">
      <c r="B39" s="1"/>
      <c r="C39" s="1"/>
      <c r="D39" s="1"/>
      <c r="E39" s="1"/>
      <c r="L39" s="230" t="s">
        <v>1264</v>
      </c>
      <c r="M39" s="230" t="s">
        <v>259</v>
      </c>
    </row>
    <row r="40" spans="1:13" x14ac:dyDescent="0.25">
      <c r="A40" s="218"/>
      <c r="B40" s="238" t="s">
        <v>1265</v>
      </c>
      <c r="C40" s="218"/>
      <c r="D40" s="229"/>
      <c r="E40" s="229"/>
      <c r="F40" s="229"/>
      <c r="L40" s="232" t="s">
        <v>1266</v>
      </c>
      <c r="M40" s="233" t="s">
        <v>1267</v>
      </c>
    </row>
    <row r="41" spans="1:13" x14ac:dyDescent="0.25">
      <c r="A41" s="229"/>
      <c r="B41" s="229"/>
      <c r="C41" s="229" t="s">
        <v>1268</v>
      </c>
      <c r="D41" s="229"/>
      <c r="E41" s="229"/>
      <c r="F41" s="229"/>
      <c r="G41" s="231">
        <v>53000</v>
      </c>
      <c r="L41" s="232" t="s">
        <v>1269</v>
      </c>
      <c r="M41" s="233">
        <v>7.1999999999999998E-3</v>
      </c>
    </row>
    <row r="42" spans="1:13" ht="17.25" x14ac:dyDescent="0.4">
      <c r="A42" s="229"/>
      <c r="B42" s="234"/>
      <c r="C42" s="229" t="s">
        <v>1270</v>
      </c>
      <c r="D42" s="234"/>
      <c r="E42" s="229"/>
      <c r="F42" s="229"/>
      <c r="G42" s="234">
        <v>7.1999999999999998E-3</v>
      </c>
      <c r="L42" s="232" t="s">
        <v>1271</v>
      </c>
      <c r="M42" s="233">
        <v>6.2300000000000003E-3</v>
      </c>
    </row>
    <row r="43" spans="1:13" x14ac:dyDescent="0.25">
      <c r="A43" s="229"/>
      <c r="B43" s="229"/>
      <c r="C43" s="229" t="s">
        <v>1272</v>
      </c>
      <c r="D43" s="229"/>
      <c r="E43" s="229"/>
      <c r="F43" s="229"/>
      <c r="G43" s="239">
        <v>381.6</v>
      </c>
      <c r="L43" s="232" t="s">
        <v>1273</v>
      </c>
      <c r="M43" s="233">
        <v>5.3E-3</v>
      </c>
    </row>
    <row r="44" spans="1:13" ht="17.25" x14ac:dyDescent="0.4">
      <c r="A44" s="229"/>
      <c r="B44" s="234"/>
      <c r="C44" s="229" t="s">
        <v>1274</v>
      </c>
      <c r="D44" s="234"/>
      <c r="E44" s="229"/>
      <c r="F44" s="229"/>
      <c r="G44" s="235" t="s">
        <v>1275</v>
      </c>
      <c r="L44" s="232" t="s">
        <v>1276</v>
      </c>
      <c r="M44" s="233">
        <v>4.7499999999999999E-3</v>
      </c>
    </row>
    <row r="45" spans="1:13" x14ac:dyDescent="0.25">
      <c r="C45" s="229" t="s">
        <v>1277</v>
      </c>
      <c r="G45" s="51">
        <v>6.47</v>
      </c>
      <c r="L45" s="232" t="s">
        <v>1278</v>
      </c>
      <c r="M45" s="233">
        <v>4.4600000000000004E-3</v>
      </c>
    </row>
    <row r="47" spans="1:13" x14ac:dyDescent="0.25">
      <c r="B47" s="240" t="s">
        <v>263</v>
      </c>
      <c r="C47" s="240"/>
      <c r="D47" s="240"/>
      <c r="E47" s="240"/>
      <c r="F47" s="240"/>
      <c r="G47" s="241">
        <v>30.88</v>
      </c>
      <c r="H47" s="56"/>
    </row>
    <row r="50" spans="1:8" x14ac:dyDescent="0.25">
      <c r="A50" t="s">
        <v>12</v>
      </c>
      <c r="B50" t="s">
        <v>13</v>
      </c>
    </row>
    <row r="52" spans="1:8" x14ac:dyDescent="0.25">
      <c r="B52" s="50" t="s">
        <v>25</v>
      </c>
      <c r="D52" s="48" t="s">
        <v>1257</v>
      </c>
    </row>
    <row r="53" spans="1:8" x14ac:dyDescent="0.25">
      <c r="C53" s="76" t="s">
        <v>1258</v>
      </c>
      <c r="G53" s="68">
        <v>1440</v>
      </c>
      <c r="H53" s="242"/>
    </row>
    <row r="54" spans="1:8" x14ac:dyDescent="0.25">
      <c r="C54" s="76" t="s">
        <v>1259</v>
      </c>
      <c r="G54" s="236" t="s">
        <v>1279</v>
      </c>
      <c r="H54" s="68"/>
    </row>
    <row r="55" spans="1:8" x14ac:dyDescent="0.25">
      <c r="C55" s="76" t="s">
        <v>1261</v>
      </c>
      <c r="G55" s="237">
        <v>24.41</v>
      </c>
      <c r="H55" s="236"/>
    </row>
    <row r="56" spans="1:8" x14ac:dyDescent="0.25">
      <c r="D56" s="76"/>
      <c r="G56" s="68"/>
      <c r="H56" s="243"/>
    </row>
    <row r="58" spans="1:8" x14ac:dyDescent="0.25">
      <c r="B58" s="1" t="s">
        <v>2</v>
      </c>
      <c r="C58" s="1" t="s">
        <v>1280</v>
      </c>
      <c r="D58" s="1"/>
      <c r="E58" s="1"/>
    </row>
    <row r="59" spans="1:8" x14ac:dyDescent="0.25">
      <c r="B59" s="1"/>
      <c r="C59" s="1" t="s">
        <v>1281</v>
      </c>
      <c r="D59" s="1"/>
      <c r="E59" s="1"/>
    </row>
    <row r="60" spans="1:8" x14ac:dyDescent="0.25">
      <c r="B60" s="1"/>
      <c r="C60" s="1"/>
      <c r="D60" s="1"/>
      <c r="E60" s="1"/>
    </row>
    <row r="61" spans="1:8" x14ac:dyDescent="0.25">
      <c r="A61" s="218"/>
      <c r="B61" s="238" t="s">
        <v>1265</v>
      </c>
      <c r="C61" s="218"/>
      <c r="D61" s="229"/>
      <c r="E61" s="229"/>
      <c r="F61" s="229"/>
    </row>
    <row r="62" spans="1:8" x14ac:dyDescent="0.25">
      <c r="A62" s="229"/>
      <c r="B62" s="229"/>
      <c r="C62" s="229" t="s">
        <v>1268</v>
      </c>
      <c r="D62" s="229"/>
      <c r="E62" s="229"/>
      <c r="F62" s="229"/>
      <c r="G62" s="231">
        <v>53000</v>
      </c>
    </row>
    <row r="63" spans="1:8" ht="17.25" x14ac:dyDescent="0.4">
      <c r="A63" s="229"/>
      <c r="B63" s="234"/>
      <c r="C63" s="229" t="s">
        <v>1282</v>
      </c>
      <c r="D63" s="234"/>
      <c r="E63" s="229"/>
      <c r="F63" s="229"/>
      <c r="G63" s="234">
        <v>6.2300000000000003E-3</v>
      </c>
    </row>
    <row r="64" spans="1:8" x14ac:dyDescent="0.25">
      <c r="A64" s="229"/>
      <c r="B64" s="229"/>
      <c r="C64" s="229" t="s">
        <v>1272</v>
      </c>
      <c r="D64" s="229"/>
      <c r="E64" s="229"/>
      <c r="F64" s="229"/>
      <c r="G64" s="239">
        <v>330.19</v>
      </c>
    </row>
    <row r="65" spans="1:13" ht="17.25" x14ac:dyDescent="0.4">
      <c r="A65" s="229"/>
      <c r="B65" s="234"/>
      <c r="C65" s="229" t="s">
        <v>1283</v>
      </c>
      <c r="D65" s="234"/>
      <c r="E65" s="229"/>
      <c r="F65" s="229"/>
      <c r="G65" s="235" t="s">
        <v>1284</v>
      </c>
    </row>
    <row r="66" spans="1:13" x14ac:dyDescent="0.25">
      <c r="C66" s="229" t="s">
        <v>1277</v>
      </c>
      <c r="G66" s="51">
        <v>5.6</v>
      </c>
    </row>
    <row r="68" spans="1:13" x14ac:dyDescent="0.25">
      <c r="B68" s="240" t="s">
        <v>263</v>
      </c>
      <c r="C68" s="240"/>
      <c r="D68" s="240"/>
      <c r="E68" s="240"/>
      <c r="F68" s="240"/>
      <c r="G68" s="241">
        <v>30.01</v>
      </c>
      <c r="H68" s="56"/>
    </row>
    <row r="71" spans="1:13" x14ac:dyDescent="0.25">
      <c r="A71" t="s">
        <v>15</v>
      </c>
      <c r="B71" t="s">
        <v>16</v>
      </c>
    </row>
    <row r="73" spans="1:13" x14ac:dyDescent="0.25">
      <c r="C73" s="50" t="s">
        <v>1285</v>
      </c>
    </row>
    <row r="74" spans="1:13" x14ac:dyDescent="0.25">
      <c r="D74" s="76" t="s">
        <v>1286</v>
      </c>
      <c r="G74" s="68">
        <v>1440</v>
      </c>
    </row>
    <row r="75" spans="1:13" x14ac:dyDescent="0.25">
      <c r="D75" s="76" t="s">
        <v>1259</v>
      </c>
      <c r="G75" s="244" t="s">
        <v>1260</v>
      </c>
      <c r="L75" s="4" t="s">
        <v>258</v>
      </c>
    </row>
    <row r="76" spans="1:13" x14ac:dyDescent="0.25">
      <c r="D76" s="76" t="s">
        <v>265</v>
      </c>
      <c r="G76" s="245" t="s">
        <v>1287</v>
      </c>
      <c r="L76" s="230" t="s">
        <v>1264</v>
      </c>
      <c r="M76" s="230" t="s">
        <v>259</v>
      </c>
    </row>
    <row r="77" spans="1:13" x14ac:dyDescent="0.25">
      <c r="D77" s="76" t="s">
        <v>1288</v>
      </c>
      <c r="G77" s="246" t="s">
        <v>1289</v>
      </c>
      <c r="L77" s="232" t="s">
        <v>1266</v>
      </c>
      <c r="M77" s="233" t="s">
        <v>1267</v>
      </c>
    </row>
    <row r="78" spans="1:13" x14ac:dyDescent="0.25">
      <c r="L78" s="232" t="s">
        <v>1269</v>
      </c>
      <c r="M78" s="233">
        <v>7.1999999999999998E-3</v>
      </c>
    </row>
    <row r="79" spans="1:13" x14ac:dyDescent="0.25">
      <c r="L79" s="232" t="s">
        <v>1271</v>
      </c>
      <c r="M79" s="233">
        <v>6.2300000000000003E-3</v>
      </c>
    </row>
    <row r="80" spans="1:13" x14ac:dyDescent="0.25">
      <c r="C80" s="50" t="s">
        <v>1290</v>
      </c>
      <c r="L80" s="232" t="s">
        <v>1273</v>
      </c>
      <c r="M80" s="233">
        <v>5.3E-3</v>
      </c>
    </row>
    <row r="81" spans="2:13" x14ac:dyDescent="0.25">
      <c r="D81" s="76" t="s">
        <v>1286</v>
      </c>
      <c r="G81" s="68">
        <v>1080</v>
      </c>
      <c r="L81" s="232" t="s">
        <v>1276</v>
      </c>
      <c r="M81" s="233">
        <v>4.7499999999999999E-3</v>
      </c>
    </row>
    <row r="82" spans="2:13" x14ac:dyDescent="0.25">
      <c r="D82" s="76" t="s">
        <v>1259</v>
      </c>
      <c r="G82" s="244" t="s">
        <v>1260</v>
      </c>
      <c r="L82" s="232" t="s">
        <v>1278</v>
      </c>
      <c r="M82" s="233">
        <v>4.4600000000000004E-3</v>
      </c>
    </row>
    <row r="83" spans="2:13" x14ac:dyDescent="0.25">
      <c r="D83" s="76" t="s">
        <v>1291</v>
      </c>
      <c r="G83" s="247">
        <v>18.309999999999999</v>
      </c>
    </row>
    <row r="84" spans="2:13" x14ac:dyDescent="0.25">
      <c r="D84" s="248" t="s">
        <v>1292</v>
      </c>
      <c r="G84" s="51">
        <v>0</v>
      </c>
    </row>
    <row r="85" spans="2:13" x14ac:dyDescent="0.25">
      <c r="D85" s="238"/>
      <c r="G85" s="51"/>
    </row>
    <row r="86" spans="2:13" x14ac:dyDescent="0.25">
      <c r="D86" s="76"/>
      <c r="G86" s="51"/>
    </row>
    <row r="87" spans="2:13" x14ac:dyDescent="0.25">
      <c r="B87" s="1" t="s">
        <v>2</v>
      </c>
      <c r="C87" s="1" t="s">
        <v>1293</v>
      </c>
      <c r="D87" s="1"/>
      <c r="E87" s="1"/>
    </row>
    <row r="88" spans="2:13" x14ac:dyDescent="0.25">
      <c r="B88" s="1"/>
      <c r="C88" s="1" t="s">
        <v>1281</v>
      </c>
      <c r="D88" s="1"/>
      <c r="E88" s="1"/>
    </row>
    <row r="90" spans="2:13" x14ac:dyDescent="0.25">
      <c r="C90" t="s">
        <v>268</v>
      </c>
      <c r="H90" s="56" t="s">
        <v>1294</v>
      </c>
    </row>
    <row r="91" spans="2:13" x14ac:dyDescent="0.25">
      <c r="H91" s="56" t="s">
        <v>1295</v>
      </c>
    </row>
    <row r="92" spans="2:13" x14ac:dyDescent="0.25">
      <c r="D92" s="76" t="s">
        <v>261</v>
      </c>
      <c r="G92" s="68">
        <v>110000</v>
      </c>
      <c r="H92" s="242"/>
    </row>
    <row r="93" spans="2:13" ht="17.25" x14ac:dyDescent="0.4">
      <c r="C93" s="234"/>
      <c r="D93" s="229" t="s">
        <v>1296</v>
      </c>
      <c r="E93" s="234"/>
      <c r="F93" s="229"/>
      <c r="G93" s="249">
        <v>6.2300000000000003E-3</v>
      </c>
      <c r="H93" s="234"/>
    </row>
    <row r="94" spans="2:13" x14ac:dyDescent="0.25">
      <c r="C94" s="229"/>
      <c r="D94" s="229" t="s">
        <v>1297</v>
      </c>
      <c r="E94" s="229"/>
      <c r="F94" s="229"/>
      <c r="G94" s="239">
        <v>685.3</v>
      </c>
      <c r="H94" s="231"/>
    </row>
    <row r="95" spans="2:13" ht="17.25" x14ac:dyDescent="0.4">
      <c r="C95" s="234"/>
      <c r="D95" s="229" t="s">
        <v>1298</v>
      </c>
      <c r="E95" s="234"/>
      <c r="F95" s="229"/>
      <c r="G95" s="229" t="s">
        <v>1299</v>
      </c>
      <c r="H95" s="235"/>
    </row>
    <row r="96" spans="2:13" x14ac:dyDescent="0.25">
      <c r="D96" s="229" t="s">
        <v>1277</v>
      </c>
      <c r="G96" s="51">
        <v>11.62</v>
      </c>
      <c r="H96" s="68"/>
    </row>
    <row r="98" spans="1:8" x14ac:dyDescent="0.25">
      <c r="A98" s="48" t="s">
        <v>1300</v>
      </c>
      <c r="C98" s="240"/>
      <c r="D98" s="240"/>
      <c r="E98" s="240"/>
      <c r="F98" s="240"/>
      <c r="G98" s="250">
        <v>11.62</v>
      </c>
      <c r="H98" s="241"/>
    </row>
    <row r="99" spans="1:8" x14ac:dyDescent="0.25">
      <c r="A99" s="48"/>
      <c r="G99" s="51"/>
      <c r="H99" s="251"/>
    </row>
    <row r="100" spans="1:8" x14ac:dyDescent="0.25">
      <c r="A100" t="s">
        <v>17</v>
      </c>
      <c r="B100" t="s">
        <v>18</v>
      </c>
    </row>
    <row r="102" spans="1:8" x14ac:dyDescent="0.25">
      <c r="C102" s="50" t="s">
        <v>1301</v>
      </c>
      <c r="E102" s="252">
        <v>80000</v>
      </c>
    </row>
    <row r="103" spans="1:8" x14ac:dyDescent="0.25">
      <c r="C103" t="s">
        <v>1302</v>
      </c>
      <c r="D103" s="76"/>
      <c r="G103" s="68">
        <v>840</v>
      </c>
    </row>
    <row r="104" spans="1:8" x14ac:dyDescent="0.25">
      <c r="C104" s="48" t="s">
        <v>1259</v>
      </c>
      <c r="D104" s="76"/>
      <c r="G104" s="57" t="s">
        <v>1260</v>
      </c>
    </row>
    <row r="105" spans="1:8" x14ac:dyDescent="0.25">
      <c r="C105" s="48" t="s">
        <v>1303</v>
      </c>
      <c r="D105" s="76"/>
      <c r="G105" s="51">
        <v>14.24</v>
      </c>
    </row>
    <row r="106" spans="1:8" x14ac:dyDescent="0.25">
      <c r="D106" s="76"/>
      <c r="G106" s="51"/>
    </row>
    <row r="107" spans="1:8" x14ac:dyDescent="0.25">
      <c r="B107" s="1" t="s">
        <v>2</v>
      </c>
      <c r="C107" s="1" t="s">
        <v>1304</v>
      </c>
      <c r="D107" s="1"/>
      <c r="E107" s="1"/>
    </row>
    <row r="108" spans="1:8" x14ac:dyDescent="0.25">
      <c r="C108" s="1" t="s">
        <v>1281</v>
      </c>
      <c r="D108" s="1"/>
      <c r="E108" s="1"/>
    </row>
    <row r="110" spans="1:8" x14ac:dyDescent="0.25">
      <c r="B110" s="238"/>
      <c r="C110" s="218" t="s">
        <v>1265</v>
      </c>
      <c r="D110" s="229"/>
      <c r="E110" s="229"/>
      <c r="F110" s="229"/>
    </row>
    <row r="111" spans="1:8" x14ac:dyDescent="0.25">
      <c r="B111" s="229"/>
      <c r="C111" s="229" t="s">
        <v>1305</v>
      </c>
      <c r="D111" s="229"/>
      <c r="E111" s="229"/>
      <c r="F111" s="229"/>
      <c r="G111" s="231">
        <v>150000</v>
      </c>
    </row>
    <row r="112" spans="1:8" ht="17.25" x14ac:dyDescent="0.4">
      <c r="B112" s="234"/>
      <c r="C112" s="229" t="s">
        <v>1306</v>
      </c>
      <c r="D112" s="234"/>
      <c r="E112" s="229"/>
      <c r="F112" s="229"/>
      <c r="G112" s="234">
        <v>6.2300000000000003E-3</v>
      </c>
    </row>
    <row r="113" spans="1:7" x14ac:dyDescent="0.25">
      <c r="B113" s="229"/>
      <c r="C113" s="229" t="s">
        <v>1272</v>
      </c>
      <c r="D113" s="229"/>
      <c r="E113" s="229"/>
      <c r="F113" s="229"/>
      <c r="G113" s="239">
        <v>934.5</v>
      </c>
    </row>
    <row r="114" spans="1:7" ht="17.25" x14ac:dyDescent="0.4">
      <c r="B114" s="234"/>
      <c r="C114" s="229" t="s">
        <v>1307</v>
      </c>
      <c r="D114" s="234"/>
      <c r="E114" s="229"/>
      <c r="F114" s="229"/>
      <c r="G114" s="235" t="s">
        <v>1275</v>
      </c>
    </row>
    <row r="115" spans="1:7" x14ac:dyDescent="0.25">
      <c r="C115" s="229" t="s">
        <v>1277</v>
      </c>
      <c r="G115" s="253">
        <v>15.84</v>
      </c>
    </row>
    <row r="117" spans="1:7" x14ac:dyDescent="0.25">
      <c r="A117" s="244" t="s">
        <v>1300</v>
      </c>
      <c r="B117" s="244"/>
      <c r="C117" s="244"/>
      <c r="D117" s="244"/>
      <c r="E117" s="244"/>
      <c r="F117" s="244"/>
      <c r="G117" s="51">
        <v>30.08</v>
      </c>
    </row>
    <row r="120" spans="1:7" x14ac:dyDescent="0.25">
      <c r="A120" t="s">
        <v>20</v>
      </c>
      <c r="B120" t="s">
        <v>21</v>
      </c>
    </row>
    <row r="122" spans="1:7" x14ac:dyDescent="0.25">
      <c r="C122" s="50" t="s">
        <v>1308</v>
      </c>
    </row>
    <row r="123" spans="1:7" x14ac:dyDescent="0.25">
      <c r="C123" s="48" t="s">
        <v>1309</v>
      </c>
      <c r="D123" s="76"/>
      <c r="G123" s="68">
        <v>640</v>
      </c>
    </row>
    <row r="124" spans="1:7" x14ac:dyDescent="0.25">
      <c r="C124" s="48" t="s">
        <v>1259</v>
      </c>
      <c r="D124" s="76"/>
      <c r="G124" s="48" t="s">
        <v>1260</v>
      </c>
    </row>
    <row r="125" spans="1:7" x14ac:dyDescent="0.25">
      <c r="C125" t="s">
        <v>1310</v>
      </c>
      <c r="D125" s="76"/>
      <c r="G125" s="254" t="s">
        <v>1311</v>
      </c>
    </row>
    <row r="127" spans="1:7" x14ac:dyDescent="0.25">
      <c r="C127" s="218"/>
      <c r="D127" s="229"/>
      <c r="E127" s="229"/>
      <c r="F127" s="229"/>
    </row>
    <row r="128" spans="1:7" x14ac:dyDescent="0.25">
      <c r="C128" s="50" t="s">
        <v>1312</v>
      </c>
    </row>
    <row r="129" spans="1:9" x14ac:dyDescent="0.25">
      <c r="C129" s="48" t="s">
        <v>1309</v>
      </c>
      <c r="D129" s="76"/>
      <c r="G129" s="47">
        <v>720</v>
      </c>
    </row>
    <row r="130" spans="1:9" x14ac:dyDescent="0.25">
      <c r="C130" s="48" t="s">
        <v>1259</v>
      </c>
      <c r="D130" s="76"/>
      <c r="G130" s="48" t="s">
        <v>1260</v>
      </c>
    </row>
    <row r="131" spans="1:9" x14ac:dyDescent="0.25">
      <c r="C131" s="48" t="s">
        <v>1303</v>
      </c>
      <c r="D131" s="76"/>
      <c r="G131" s="250">
        <v>12.2</v>
      </c>
      <c r="H131" s="68"/>
      <c r="I131" s="51"/>
    </row>
    <row r="132" spans="1:9" x14ac:dyDescent="0.25">
      <c r="C132" s="48" t="s">
        <v>1292</v>
      </c>
      <c r="D132" s="76"/>
      <c r="G132" s="51">
        <v>1.35</v>
      </c>
      <c r="H132" s="68"/>
      <c r="I132" s="51"/>
    </row>
    <row r="133" spans="1:9" x14ac:dyDescent="0.25">
      <c r="C133" s="48"/>
      <c r="D133" s="76"/>
      <c r="G133" s="51"/>
      <c r="H133" s="68"/>
      <c r="I133" s="51"/>
    </row>
    <row r="134" spans="1:9" x14ac:dyDescent="0.25">
      <c r="D134" s="76"/>
      <c r="G134" s="51"/>
    </row>
    <row r="135" spans="1:9" x14ac:dyDescent="0.25">
      <c r="C135" s="218" t="s">
        <v>1265</v>
      </c>
      <c r="D135" s="229"/>
      <c r="E135" s="229"/>
      <c r="F135" s="229"/>
    </row>
    <row r="136" spans="1:9" x14ac:dyDescent="0.25">
      <c r="C136" s="229" t="s">
        <v>1268</v>
      </c>
      <c r="D136" s="229"/>
      <c r="E136" s="229"/>
      <c r="F136" s="229"/>
      <c r="G136" s="231">
        <v>150000</v>
      </c>
    </row>
    <row r="137" spans="1:9" ht="17.25" x14ac:dyDescent="0.4">
      <c r="C137" s="229" t="s">
        <v>1282</v>
      </c>
      <c r="D137" s="234"/>
      <c r="E137" s="229"/>
      <c r="F137" s="229"/>
      <c r="G137" s="255" t="s">
        <v>1313</v>
      </c>
    </row>
    <row r="138" spans="1:9" x14ac:dyDescent="0.25">
      <c r="C138" s="229" t="s">
        <v>1272</v>
      </c>
      <c r="D138" s="229"/>
      <c r="E138" s="229"/>
      <c r="F138" s="229"/>
      <c r="G138" s="231">
        <v>0</v>
      </c>
    </row>
    <row r="139" spans="1:9" ht="17.25" x14ac:dyDescent="0.4">
      <c r="C139" s="229" t="s">
        <v>1283</v>
      </c>
      <c r="D139" s="234"/>
      <c r="E139" s="229"/>
      <c r="F139" s="229"/>
      <c r="G139" s="235" t="s">
        <v>1275</v>
      </c>
    </row>
    <row r="140" spans="1:9" x14ac:dyDescent="0.25">
      <c r="C140" s="229" t="s">
        <v>1277</v>
      </c>
      <c r="G140" s="51">
        <v>0</v>
      </c>
    </row>
    <row r="142" spans="1:9" x14ac:dyDescent="0.25">
      <c r="A142" s="244" t="s">
        <v>1300</v>
      </c>
      <c r="B142" s="244"/>
      <c r="C142" s="244"/>
      <c r="D142" s="244"/>
      <c r="G142" s="256">
        <v>1.35</v>
      </c>
    </row>
    <row r="145" spans="1:15" x14ac:dyDescent="0.25">
      <c r="A145" t="s">
        <v>22</v>
      </c>
      <c r="B145" t="s">
        <v>23</v>
      </c>
    </row>
    <row r="146" spans="1:15" x14ac:dyDescent="0.25">
      <c r="B146" s="473" t="s">
        <v>24</v>
      </c>
      <c r="C146" s="473"/>
      <c r="D146" s="473"/>
      <c r="E146" s="473"/>
      <c r="F146" s="473"/>
      <c r="G146" s="473"/>
      <c r="H146" s="473"/>
      <c r="I146" s="473"/>
      <c r="J146" s="473"/>
      <c r="K146" s="473"/>
    </row>
    <row r="148" spans="1:15" x14ac:dyDescent="0.25">
      <c r="A148" s="257" t="s">
        <v>1314</v>
      </c>
      <c r="B148" s="48"/>
      <c r="C148" s="48"/>
      <c r="D148" s="48"/>
      <c r="E148" s="48"/>
      <c r="F148" s="48"/>
    </row>
    <row r="149" spans="1:15" x14ac:dyDescent="0.25">
      <c r="A149" s="56" t="s">
        <v>1251</v>
      </c>
      <c r="B149" s="1"/>
      <c r="C149" s="1"/>
      <c r="D149" s="1"/>
      <c r="E149" s="1"/>
    </row>
    <row r="150" spans="1:15" x14ac:dyDescent="0.25">
      <c r="A150" s="223" t="s">
        <v>1315</v>
      </c>
      <c r="B150" s="1"/>
      <c r="C150" s="1"/>
      <c r="D150" s="1"/>
      <c r="E150" s="1"/>
    </row>
    <row r="152" spans="1:15" x14ac:dyDescent="0.25">
      <c r="B152" s="258"/>
      <c r="C152" s="258" t="s">
        <v>274</v>
      </c>
      <c r="D152" s="258"/>
      <c r="E152" s="258"/>
      <c r="F152" s="258"/>
      <c r="G152" s="258"/>
      <c r="H152" s="258"/>
      <c r="I152" s="258"/>
    </row>
    <row r="154" spans="1:15" x14ac:dyDescent="0.25">
      <c r="B154" s="258"/>
      <c r="C154" s="50" t="s">
        <v>1312</v>
      </c>
      <c r="H154" s="258"/>
      <c r="I154" s="258"/>
    </row>
    <row r="155" spans="1:15" x14ac:dyDescent="0.25">
      <c r="B155" s="258"/>
      <c r="C155" s="48" t="s">
        <v>1258</v>
      </c>
      <c r="D155" s="76"/>
      <c r="G155" s="47">
        <v>100</v>
      </c>
      <c r="H155" s="258"/>
      <c r="I155" s="258"/>
      <c r="N155" s="4" t="s">
        <v>258</v>
      </c>
    </row>
    <row r="156" spans="1:15" x14ac:dyDescent="0.25">
      <c r="B156" s="258"/>
      <c r="C156" s="48" t="s">
        <v>1259</v>
      </c>
      <c r="D156" s="76"/>
      <c r="G156" s="57" t="s">
        <v>1260</v>
      </c>
      <c r="H156" s="258"/>
      <c r="I156" s="258"/>
      <c r="N156" s="230" t="s">
        <v>1264</v>
      </c>
      <c r="O156" s="230" t="s">
        <v>259</v>
      </c>
    </row>
    <row r="157" spans="1:15" x14ac:dyDescent="0.25">
      <c r="B157" s="258"/>
      <c r="C157" t="s">
        <v>1310</v>
      </c>
      <c r="D157" s="76"/>
      <c r="G157" s="51">
        <v>1.7</v>
      </c>
      <c r="H157" s="259"/>
      <c r="I157" s="258"/>
      <c r="N157" s="232" t="s">
        <v>1266</v>
      </c>
      <c r="O157" s="233" t="s">
        <v>1267</v>
      </c>
    </row>
    <row r="158" spans="1:15" x14ac:dyDescent="0.25">
      <c r="B158" s="258"/>
      <c r="D158" s="76"/>
      <c r="G158" s="51"/>
      <c r="H158" s="259"/>
      <c r="I158" s="258"/>
      <c r="N158" s="232" t="s">
        <v>1269</v>
      </c>
      <c r="O158" s="233">
        <v>7.1999999999999998E-3</v>
      </c>
    </row>
    <row r="159" spans="1:15" x14ac:dyDescent="0.25">
      <c r="B159" s="258"/>
      <c r="C159" s="1" t="s">
        <v>2</v>
      </c>
      <c r="D159" s="1" t="s">
        <v>1316</v>
      </c>
      <c r="E159" s="1"/>
      <c r="F159" s="1"/>
      <c r="N159" s="232" t="s">
        <v>1271</v>
      </c>
      <c r="O159" s="233">
        <v>6.2300000000000003E-3</v>
      </c>
    </row>
    <row r="160" spans="1:15" x14ac:dyDescent="0.25">
      <c r="B160" s="258"/>
      <c r="C160" s="1"/>
      <c r="D160" s="1" t="s">
        <v>1317</v>
      </c>
      <c r="E160" s="1"/>
      <c r="F160" s="1"/>
      <c r="N160" s="232" t="s">
        <v>1273</v>
      </c>
      <c r="O160" s="233">
        <v>5.3E-3</v>
      </c>
    </row>
    <row r="161" spans="1:15" x14ac:dyDescent="0.25">
      <c r="B161" s="258"/>
      <c r="C161" s="258"/>
      <c r="D161" s="258"/>
      <c r="E161" s="258"/>
      <c r="F161" s="258"/>
      <c r="G161" s="258"/>
      <c r="H161" s="258"/>
      <c r="I161" s="258"/>
      <c r="N161" s="232" t="s">
        <v>1276</v>
      </c>
      <c r="O161" s="233">
        <v>4.7499999999999999E-3</v>
      </c>
    </row>
    <row r="162" spans="1:15" x14ac:dyDescent="0.25">
      <c r="B162" s="258"/>
      <c r="C162" s="218" t="s">
        <v>1265</v>
      </c>
      <c r="D162" s="229"/>
      <c r="E162" s="229"/>
      <c r="F162" s="229"/>
      <c r="H162" s="260"/>
      <c r="I162" s="258"/>
      <c r="N162" s="232" t="s">
        <v>1278</v>
      </c>
      <c r="O162" s="233">
        <v>4.4600000000000004E-3</v>
      </c>
    </row>
    <row r="163" spans="1:15" x14ac:dyDescent="0.25">
      <c r="C163" s="229" t="s">
        <v>1268</v>
      </c>
      <c r="D163" s="229"/>
      <c r="E163" s="229"/>
      <c r="F163" s="229"/>
      <c r="G163" s="231">
        <v>295000</v>
      </c>
    </row>
    <row r="164" spans="1:15" ht="17.25" x14ac:dyDescent="0.4">
      <c r="C164" s="229" t="s">
        <v>1282</v>
      </c>
      <c r="D164" s="234"/>
      <c r="E164" s="229"/>
      <c r="F164" s="229"/>
      <c r="G164" s="234">
        <v>6.2300000000000003E-3</v>
      </c>
    </row>
    <row r="165" spans="1:15" x14ac:dyDescent="0.25">
      <c r="C165" s="229" t="s">
        <v>1272</v>
      </c>
      <c r="D165" s="229"/>
      <c r="E165" s="229"/>
      <c r="F165" s="229"/>
      <c r="G165" s="239">
        <v>1837.85</v>
      </c>
    </row>
    <row r="166" spans="1:15" ht="17.25" x14ac:dyDescent="0.4">
      <c r="C166" s="229" t="s">
        <v>1318</v>
      </c>
      <c r="D166" s="234"/>
      <c r="E166" s="229"/>
      <c r="F166" s="229"/>
      <c r="G166" s="235" t="s">
        <v>1275</v>
      </c>
    </row>
    <row r="167" spans="1:15" x14ac:dyDescent="0.25">
      <c r="C167" s="229" t="s">
        <v>1277</v>
      </c>
      <c r="G167" s="51">
        <v>31.15</v>
      </c>
    </row>
    <row r="169" spans="1:15" x14ac:dyDescent="0.25">
      <c r="A169" s="48" t="s">
        <v>1319</v>
      </c>
      <c r="G169" s="261">
        <v>32.85</v>
      </c>
    </row>
  </sheetData>
  <mergeCells count="5">
    <mergeCell ref="B146:K146"/>
    <mergeCell ref="A1:I1"/>
    <mergeCell ref="A2:K5"/>
    <mergeCell ref="A17:J17"/>
    <mergeCell ref="A18:J1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E5828-A489-43AF-B63D-76D9D05B2325}">
  <dimension ref="A1:M80"/>
  <sheetViews>
    <sheetView workbookViewId="0">
      <selection sqref="A1:XFD1048576"/>
    </sheetView>
  </sheetViews>
  <sheetFormatPr defaultRowHeight="15" x14ac:dyDescent="0.25"/>
  <cols>
    <col min="1" max="16384" width="9.140625" style="84"/>
  </cols>
  <sheetData>
    <row r="1" spans="1:13" ht="21" x14ac:dyDescent="0.35">
      <c r="A1" s="457" t="s">
        <v>1320</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4" x14ac:dyDescent="0.25">
      <c r="A17" s="84" t="s">
        <v>10</v>
      </c>
      <c r="B17" s="84" t="s">
        <v>11</v>
      </c>
    </row>
    <row r="19" spans="1:4" x14ac:dyDescent="0.25">
      <c r="B19" s="485" t="s">
        <v>154</v>
      </c>
      <c r="C19" s="485"/>
      <c r="D19" s="485"/>
    </row>
    <row r="20" spans="1:4" x14ac:dyDescent="0.25">
      <c r="B20" s="484" t="s">
        <v>276</v>
      </c>
      <c r="C20" s="484"/>
      <c r="D20" s="205">
        <v>1.695E-2</v>
      </c>
    </row>
    <row r="21" spans="1:4" x14ac:dyDescent="0.25">
      <c r="B21" s="484" t="s">
        <v>155</v>
      </c>
      <c r="C21" s="484"/>
      <c r="D21" s="206">
        <v>504</v>
      </c>
    </row>
    <row r="23" spans="1:4" x14ac:dyDescent="0.25">
      <c r="B23" s="484" t="s">
        <v>193</v>
      </c>
      <c r="C23" s="484"/>
      <c r="D23" s="262">
        <f>ROUND(D21*D20,2)</f>
        <v>8.5399999999999991</v>
      </c>
    </row>
    <row r="27" spans="1:4" x14ac:dyDescent="0.25">
      <c r="A27" s="84" t="s">
        <v>12</v>
      </c>
      <c r="B27" s="84" t="s">
        <v>13</v>
      </c>
    </row>
    <row r="29" spans="1:4" x14ac:dyDescent="0.25">
      <c r="B29" s="485" t="s">
        <v>154</v>
      </c>
      <c r="C29" s="485"/>
      <c r="D29" s="485"/>
    </row>
    <row r="30" spans="1:4" x14ac:dyDescent="0.25">
      <c r="B30" s="484" t="s">
        <v>276</v>
      </c>
      <c r="C30" s="484"/>
      <c r="D30" s="205">
        <v>1.695E-2</v>
      </c>
    </row>
    <row r="31" spans="1:4" x14ac:dyDescent="0.25">
      <c r="B31" s="484" t="s">
        <v>155</v>
      </c>
      <c r="C31" s="484"/>
      <c r="D31" s="206">
        <v>504</v>
      </c>
    </row>
    <row r="33" spans="1:8" x14ac:dyDescent="0.25">
      <c r="B33" s="484" t="s">
        <v>193</v>
      </c>
      <c r="C33" s="484"/>
      <c r="D33" s="262">
        <f>ROUND(D31*D30,2)</f>
        <v>8.5399999999999991</v>
      </c>
    </row>
    <row r="37" spans="1:8" x14ac:dyDescent="0.25">
      <c r="A37" s="84" t="s">
        <v>15</v>
      </c>
      <c r="B37" s="84" t="s">
        <v>16</v>
      </c>
    </row>
    <row r="39" spans="1:8" x14ac:dyDescent="0.25">
      <c r="B39" s="486" t="s">
        <v>190</v>
      </c>
      <c r="C39" s="486"/>
      <c r="D39" s="486"/>
      <c r="F39" s="486" t="s">
        <v>191</v>
      </c>
      <c r="G39" s="486"/>
      <c r="H39" s="486"/>
    </row>
    <row r="40" spans="1:8" x14ac:dyDescent="0.25">
      <c r="B40" s="485" t="s">
        <v>154</v>
      </c>
      <c r="C40" s="485"/>
      <c r="D40" s="485"/>
      <c r="F40" s="485" t="s">
        <v>154</v>
      </c>
      <c r="G40" s="485"/>
      <c r="H40" s="485"/>
    </row>
    <row r="41" spans="1:8" x14ac:dyDescent="0.25">
      <c r="B41" s="484" t="s">
        <v>276</v>
      </c>
      <c r="C41" s="484"/>
      <c r="D41" s="205">
        <v>1.695E-2</v>
      </c>
      <c r="F41" s="484" t="s">
        <v>276</v>
      </c>
      <c r="G41" s="484"/>
      <c r="H41" s="205">
        <v>1.695E-2</v>
      </c>
    </row>
    <row r="42" spans="1:8" x14ac:dyDescent="0.25">
      <c r="B42" s="484" t="s">
        <v>155</v>
      </c>
      <c r="C42" s="484"/>
      <c r="D42" s="206">
        <v>378</v>
      </c>
      <c r="F42" s="484" t="s">
        <v>155</v>
      </c>
      <c r="G42" s="484"/>
      <c r="H42" s="206">
        <v>378</v>
      </c>
    </row>
    <row r="43" spans="1:8" x14ac:dyDescent="0.25">
      <c r="B43" s="484" t="s">
        <v>182</v>
      </c>
      <c r="C43" s="484"/>
      <c r="D43" s="207">
        <f>ROUND(D42*D41,2)</f>
        <v>6.41</v>
      </c>
      <c r="F43" s="484" t="s">
        <v>182</v>
      </c>
      <c r="G43" s="484"/>
      <c r="H43" s="207">
        <f>ROUND(H42*H41,2)</f>
        <v>6.41</v>
      </c>
    </row>
    <row r="45" spans="1:8" x14ac:dyDescent="0.25">
      <c r="B45" s="484" t="s">
        <v>193</v>
      </c>
      <c r="C45" s="484"/>
      <c r="D45" s="262">
        <f>H43-D43</f>
        <v>0</v>
      </c>
    </row>
    <row r="47" spans="1:8" x14ac:dyDescent="0.25">
      <c r="A47" s="84" t="s">
        <v>17</v>
      </c>
      <c r="B47" s="84" t="s">
        <v>18</v>
      </c>
    </row>
    <row r="49" spans="1:13" x14ac:dyDescent="0.25">
      <c r="B49" s="485" t="s">
        <v>161</v>
      </c>
      <c r="C49" s="485"/>
      <c r="D49" s="485"/>
      <c r="E49" s="86"/>
      <c r="F49" s="86"/>
      <c r="G49" s="86"/>
      <c r="H49" s="86"/>
      <c r="I49" s="86"/>
      <c r="J49" s="86"/>
      <c r="K49" s="86"/>
      <c r="L49" s="86"/>
      <c r="M49" s="86"/>
    </row>
    <row r="50" spans="1:13" x14ac:dyDescent="0.25">
      <c r="B50" s="484" t="s">
        <v>276</v>
      </c>
      <c r="C50" s="484"/>
      <c r="D50" s="205">
        <v>1.695E-2</v>
      </c>
      <c r="E50" s="86"/>
      <c r="F50" s="86"/>
      <c r="G50" s="86"/>
      <c r="H50" s="86"/>
      <c r="I50" s="86"/>
      <c r="J50" s="86"/>
      <c r="K50" s="86"/>
      <c r="L50" s="86"/>
      <c r="M50" s="86"/>
    </row>
    <row r="51" spans="1:13" x14ac:dyDescent="0.25">
      <c r="B51" s="484" t="s">
        <v>155</v>
      </c>
      <c r="C51" s="484"/>
      <c r="D51" s="206">
        <v>271.95</v>
      </c>
      <c r="E51" s="86"/>
      <c r="F51" s="86"/>
      <c r="G51" s="86"/>
      <c r="H51" s="86"/>
      <c r="I51" s="86"/>
      <c r="J51" s="86"/>
      <c r="K51" s="86"/>
      <c r="L51" s="86"/>
      <c r="M51" s="86"/>
    </row>
    <row r="53" spans="1:13" x14ac:dyDescent="0.25">
      <c r="B53" s="484" t="s">
        <v>193</v>
      </c>
      <c r="C53" s="484"/>
      <c r="D53" s="262">
        <f>ROUND(D51*D50,2)</f>
        <v>4.6100000000000003</v>
      </c>
    </row>
    <row r="57" spans="1:13" x14ac:dyDescent="0.25">
      <c r="A57" s="84" t="s">
        <v>20</v>
      </c>
      <c r="B57" s="84" t="s">
        <v>21</v>
      </c>
    </row>
    <row r="59" spans="1:13" x14ac:dyDescent="0.25">
      <c r="B59" s="486" t="s">
        <v>190</v>
      </c>
      <c r="C59" s="486"/>
      <c r="D59" s="486"/>
      <c r="F59" s="486" t="s">
        <v>191</v>
      </c>
      <c r="G59" s="486"/>
      <c r="H59" s="486"/>
    </row>
    <row r="60" spans="1:13" x14ac:dyDescent="0.25">
      <c r="B60" s="485" t="s">
        <v>161</v>
      </c>
      <c r="C60" s="485"/>
      <c r="D60" s="485"/>
      <c r="F60" s="485" t="s">
        <v>154</v>
      </c>
      <c r="G60" s="485"/>
      <c r="H60" s="485"/>
    </row>
    <row r="61" spans="1:13" x14ac:dyDescent="0.25">
      <c r="B61" s="484" t="s">
        <v>276</v>
      </c>
      <c r="C61" s="484"/>
      <c r="D61" s="205">
        <v>1.695E-2</v>
      </c>
      <c r="F61" s="484" t="s">
        <v>276</v>
      </c>
      <c r="G61" s="484"/>
      <c r="H61" s="205">
        <v>1.695E-2</v>
      </c>
    </row>
    <row r="62" spans="1:13" x14ac:dyDescent="0.25">
      <c r="B62" s="484" t="s">
        <v>155</v>
      </c>
      <c r="C62" s="484"/>
      <c r="D62" s="206">
        <v>233.1</v>
      </c>
      <c r="F62" s="484" t="s">
        <v>155</v>
      </c>
      <c r="G62" s="484"/>
      <c r="H62" s="206">
        <v>252</v>
      </c>
    </row>
    <row r="63" spans="1:13" x14ac:dyDescent="0.25">
      <c r="B63" s="484" t="s">
        <v>182</v>
      </c>
      <c r="C63" s="484"/>
      <c r="D63" s="207">
        <f>ROUND(D62*D61,2)</f>
        <v>3.95</v>
      </c>
      <c r="F63" s="484" t="s">
        <v>182</v>
      </c>
      <c r="G63" s="484"/>
      <c r="H63" s="207">
        <f>ROUND(H62*H61,2)</f>
        <v>4.2699999999999996</v>
      </c>
    </row>
    <row r="65" spans="1:13" x14ac:dyDescent="0.25">
      <c r="B65" s="484" t="s">
        <v>193</v>
      </c>
      <c r="C65" s="484"/>
      <c r="D65" s="262">
        <f>H63-D63</f>
        <v>0.3199999999999994</v>
      </c>
      <c r="I65" s="86"/>
      <c r="J65" s="86"/>
      <c r="K65" s="86"/>
      <c r="L65" s="86"/>
      <c r="M65" s="86"/>
    </row>
    <row r="66" spans="1:13" x14ac:dyDescent="0.25">
      <c r="B66" s="86"/>
      <c r="C66" s="86"/>
      <c r="D66" s="86"/>
      <c r="E66" s="86"/>
      <c r="F66" s="86"/>
      <c r="G66" s="86"/>
      <c r="H66" s="86"/>
      <c r="I66" s="86"/>
      <c r="J66" s="86"/>
      <c r="K66" s="86"/>
      <c r="L66" s="86"/>
      <c r="M66" s="86"/>
    </row>
    <row r="67" spans="1:13" x14ac:dyDescent="0.25">
      <c r="A67" s="84" t="s">
        <v>22</v>
      </c>
      <c r="B67" s="84" t="s">
        <v>23</v>
      </c>
    </row>
    <row r="68" spans="1:13" ht="40.5" customHeight="1" x14ac:dyDescent="0.25">
      <c r="B68" s="459" t="s">
        <v>24</v>
      </c>
      <c r="C68" s="459"/>
      <c r="D68" s="459"/>
      <c r="E68" s="459"/>
      <c r="F68" s="459"/>
      <c r="G68" s="459"/>
      <c r="H68" s="459"/>
      <c r="I68" s="459"/>
      <c r="J68" s="459"/>
      <c r="K68" s="459"/>
      <c r="L68" s="86"/>
      <c r="M68" s="86"/>
    </row>
    <row r="69" spans="1:13" x14ac:dyDescent="0.25">
      <c r="B69" s="88"/>
      <c r="C69" s="88"/>
      <c r="D69" s="88"/>
      <c r="E69" s="88"/>
      <c r="F69" s="88"/>
      <c r="G69" s="88"/>
      <c r="H69" s="88"/>
      <c r="I69" s="88"/>
      <c r="J69" s="88"/>
      <c r="K69" s="88"/>
      <c r="L69" s="86"/>
      <c r="M69" s="86"/>
    </row>
    <row r="70" spans="1:13" x14ac:dyDescent="0.25">
      <c r="B70" s="485" t="s">
        <v>161</v>
      </c>
      <c r="C70" s="485"/>
      <c r="D70" s="485"/>
      <c r="E70" s="88"/>
      <c r="F70" s="88"/>
      <c r="G70" s="88"/>
      <c r="H70" s="88"/>
      <c r="I70" s="88"/>
      <c r="J70" s="88"/>
      <c r="K70" s="88"/>
      <c r="L70" s="86"/>
      <c r="M70" s="86"/>
    </row>
    <row r="71" spans="1:13" x14ac:dyDescent="0.25">
      <c r="B71" s="484" t="s">
        <v>276</v>
      </c>
      <c r="C71" s="484"/>
      <c r="D71" s="205">
        <v>1.695E-2</v>
      </c>
    </row>
    <row r="72" spans="1:13" x14ac:dyDescent="0.25">
      <c r="B72" s="484" t="s">
        <v>277</v>
      </c>
      <c r="C72" s="484"/>
      <c r="D72" s="263">
        <v>35</v>
      </c>
    </row>
    <row r="73" spans="1:13" x14ac:dyDescent="0.25">
      <c r="B73" s="484" t="s">
        <v>278</v>
      </c>
      <c r="C73" s="484"/>
      <c r="D73" s="264">
        <v>6.25</v>
      </c>
    </row>
    <row r="74" spans="1:13" x14ac:dyDescent="0.25">
      <c r="B74" s="484" t="s">
        <v>155</v>
      </c>
      <c r="C74" s="484"/>
      <c r="D74" s="206">
        <f>ROUND(D72*D73,2)</f>
        <v>218.75</v>
      </c>
    </row>
    <row r="76" spans="1:13" x14ac:dyDescent="0.25">
      <c r="B76" s="484" t="s">
        <v>193</v>
      </c>
      <c r="C76" s="484"/>
      <c r="D76" s="262">
        <f>ROUND(D74*D71,2)</f>
        <v>3.71</v>
      </c>
    </row>
    <row r="78" spans="1:13" x14ac:dyDescent="0.25">
      <c r="B78" s="86"/>
      <c r="C78" s="86"/>
      <c r="D78" s="86"/>
      <c r="E78" s="86"/>
      <c r="F78" s="86"/>
      <c r="G78" s="86"/>
      <c r="H78" s="86"/>
      <c r="I78" s="86"/>
      <c r="J78" s="86"/>
      <c r="K78" s="86"/>
      <c r="L78" s="86"/>
      <c r="M78" s="86"/>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sheetData>
  <mergeCells count="43">
    <mergeCell ref="B68:K68"/>
    <mergeCell ref="B70:D70"/>
    <mergeCell ref="B74:C74"/>
    <mergeCell ref="B76:C76"/>
    <mergeCell ref="B73:C73"/>
    <mergeCell ref="B71:C71"/>
    <mergeCell ref="B72:C72"/>
    <mergeCell ref="B51:C51"/>
    <mergeCell ref="B53:C53"/>
    <mergeCell ref="B60:D60"/>
    <mergeCell ref="B59:D59"/>
    <mergeCell ref="B65:C65"/>
    <mergeCell ref="B61:C61"/>
    <mergeCell ref="F61:G61"/>
    <mergeCell ref="B62:C62"/>
    <mergeCell ref="F62:G62"/>
    <mergeCell ref="B63:C63"/>
    <mergeCell ref="F63:G63"/>
    <mergeCell ref="B40:D40"/>
    <mergeCell ref="F40:H40"/>
    <mergeCell ref="B30:C30"/>
    <mergeCell ref="F59:H59"/>
    <mergeCell ref="F60:H60"/>
    <mergeCell ref="B50:C50"/>
    <mergeCell ref="B41:C41"/>
    <mergeCell ref="F41:G41"/>
    <mergeCell ref="B42:C42"/>
    <mergeCell ref="F42:G42"/>
    <mergeCell ref="B43:C43"/>
    <mergeCell ref="F43:G43"/>
    <mergeCell ref="B31:C31"/>
    <mergeCell ref="B33:C33"/>
    <mergeCell ref="B45:C45"/>
    <mergeCell ref="B49:D49"/>
    <mergeCell ref="A1:I1"/>
    <mergeCell ref="B20:C20"/>
    <mergeCell ref="A3:K6"/>
    <mergeCell ref="B19:D19"/>
    <mergeCell ref="B39:D39"/>
    <mergeCell ref="F39:H39"/>
    <mergeCell ref="B21:C21"/>
    <mergeCell ref="B23:C23"/>
    <mergeCell ref="B29:D2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F991-1CF3-455B-97EE-48246BE8A896}">
  <dimension ref="A1:M139"/>
  <sheetViews>
    <sheetView workbookViewId="0">
      <selection sqref="A1:XFD1048576"/>
    </sheetView>
  </sheetViews>
  <sheetFormatPr defaultRowHeight="15" x14ac:dyDescent="0.25"/>
  <cols>
    <col min="1" max="4" width="9.140625" style="84"/>
    <col min="5" max="5" width="18.5703125" style="84" customWidth="1"/>
    <col min="6" max="6" width="12.5703125" style="84" bestFit="1" customWidth="1"/>
    <col min="7" max="9" width="9.140625" style="84"/>
    <col min="10" max="10" width="25.7109375" style="84" customWidth="1"/>
    <col min="11" max="16384" width="9.140625" style="84"/>
  </cols>
  <sheetData>
    <row r="1" spans="1:13" ht="21" x14ac:dyDescent="0.35">
      <c r="A1" s="457" t="s">
        <v>1321</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11" x14ac:dyDescent="0.25">
      <c r="A17" s="84" t="s">
        <v>10</v>
      </c>
      <c r="B17" s="84" t="s">
        <v>11</v>
      </c>
    </row>
    <row r="19" spans="1:11" x14ac:dyDescent="0.25">
      <c r="B19" s="218" t="s">
        <v>279</v>
      </c>
      <c r="C19" s="76"/>
      <c r="D19" s="76"/>
      <c r="E19" s="76"/>
      <c r="F19" s="76"/>
      <c r="G19" s="76"/>
    </row>
    <row r="20" spans="1:11" x14ac:dyDescent="0.25">
      <c r="B20" s="76" t="s">
        <v>280</v>
      </c>
      <c r="C20" s="265"/>
      <c r="D20" s="266"/>
      <c r="E20" s="76"/>
      <c r="F20" s="265">
        <v>877</v>
      </c>
      <c r="G20" s="76"/>
    </row>
    <row r="21" spans="1:11" ht="17.25" x14ac:dyDescent="0.4">
      <c r="B21" s="76" t="s">
        <v>281</v>
      </c>
      <c r="C21" s="267"/>
      <c r="D21" s="266"/>
      <c r="E21" s="76"/>
      <c r="F21" s="267">
        <v>-40</v>
      </c>
      <c r="G21" s="76"/>
    </row>
    <row r="22" spans="1:11" x14ac:dyDescent="0.25">
      <c r="B22" s="76" t="s">
        <v>282</v>
      </c>
      <c r="C22" s="265"/>
      <c r="D22" s="266"/>
      <c r="E22" s="76"/>
      <c r="F22" s="265">
        <f>SUM(F20:F21)</f>
        <v>837</v>
      </c>
      <c r="G22" s="76"/>
    </row>
    <row r="23" spans="1:11" ht="17.25" x14ac:dyDescent="0.4">
      <c r="B23" s="268" t="s">
        <v>283</v>
      </c>
      <c r="C23" s="269"/>
      <c r="D23" s="266"/>
      <c r="E23" s="76"/>
      <c r="F23" s="269">
        <v>1.695E-2</v>
      </c>
      <c r="G23" s="76"/>
    </row>
    <row r="24" spans="1:11" x14ac:dyDescent="0.25">
      <c r="B24" s="218" t="s">
        <v>284</v>
      </c>
      <c r="C24" s="266"/>
      <c r="D24" s="270"/>
      <c r="E24" s="76"/>
      <c r="F24" s="76"/>
      <c r="G24" s="270">
        <f>ROUND(F22*F23,2)</f>
        <v>14.19</v>
      </c>
    </row>
    <row r="25" spans="1:11" x14ac:dyDescent="0.25">
      <c r="B25" s="76"/>
      <c r="C25" s="266"/>
      <c r="D25" s="266"/>
      <c r="E25" s="76"/>
      <c r="F25" s="76"/>
      <c r="G25" s="76"/>
      <c r="J25" s="248" t="s">
        <v>285</v>
      </c>
      <c r="K25" s="76"/>
    </row>
    <row r="26" spans="1:11" x14ac:dyDescent="0.25">
      <c r="B26" s="218" t="s">
        <v>262</v>
      </c>
      <c r="C26" s="266"/>
      <c r="D26" s="266"/>
      <c r="E26" s="76"/>
      <c r="F26" s="76"/>
      <c r="G26" s="76"/>
      <c r="J26" s="230" t="s">
        <v>286</v>
      </c>
      <c r="K26" s="230" t="s">
        <v>287</v>
      </c>
    </row>
    <row r="27" spans="1:11" x14ac:dyDescent="0.25">
      <c r="B27" s="76" t="s">
        <v>288</v>
      </c>
      <c r="C27" s="265"/>
      <c r="D27" s="266"/>
      <c r="E27" s="76"/>
      <c r="F27" s="265">
        <v>136000</v>
      </c>
      <c r="G27" s="76"/>
      <c r="J27" s="232" t="s">
        <v>1266</v>
      </c>
      <c r="K27" s="271">
        <v>2.4E-2</v>
      </c>
    </row>
    <row r="28" spans="1:11" ht="17.25" x14ac:dyDescent="0.4">
      <c r="B28" s="268" t="s">
        <v>289</v>
      </c>
      <c r="C28" s="272"/>
      <c r="D28" s="266"/>
      <c r="E28" s="76"/>
      <c r="F28" s="272">
        <v>6.4999999999999997E-3</v>
      </c>
      <c r="G28" s="76"/>
      <c r="J28" s="232" t="s">
        <v>1269</v>
      </c>
      <c r="K28" s="271">
        <v>1.7500000000000002E-2</v>
      </c>
    </row>
    <row r="29" spans="1:11" x14ac:dyDescent="0.25">
      <c r="B29" s="76" t="s">
        <v>260</v>
      </c>
      <c r="C29" s="265"/>
      <c r="D29" s="266"/>
      <c r="E29" s="76"/>
      <c r="F29" s="265">
        <f>F27*F28</f>
        <v>884</v>
      </c>
      <c r="G29" s="76"/>
      <c r="J29" s="232" t="s">
        <v>1271</v>
      </c>
      <c r="K29" s="271">
        <v>1.35E-2</v>
      </c>
    </row>
    <row r="30" spans="1:11" ht="17.25" x14ac:dyDescent="0.4">
      <c r="B30" s="268" t="s">
        <v>283</v>
      </c>
      <c r="C30" s="269"/>
      <c r="D30" s="266"/>
      <c r="E30" s="76"/>
      <c r="F30" s="269">
        <v>1.695E-2</v>
      </c>
      <c r="G30" s="76"/>
      <c r="J30" s="232" t="s">
        <v>1273</v>
      </c>
      <c r="K30" s="271">
        <v>0.01</v>
      </c>
    </row>
    <row r="31" spans="1:11" ht="17.25" x14ac:dyDescent="0.4">
      <c r="B31" s="218" t="s">
        <v>290</v>
      </c>
      <c r="C31" s="76"/>
      <c r="D31" s="273"/>
      <c r="E31" s="273"/>
      <c r="F31" s="273"/>
      <c r="G31" s="273">
        <f>ROUND(F29*F30,2)</f>
        <v>14.98</v>
      </c>
      <c r="J31" s="232" t="s">
        <v>1322</v>
      </c>
      <c r="K31" s="271">
        <v>6.4999999999999997E-3</v>
      </c>
    </row>
    <row r="32" spans="1:11" x14ac:dyDescent="0.25">
      <c r="B32" s="76"/>
      <c r="C32" s="76"/>
      <c r="D32" s="266"/>
      <c r="E32" s="76"/>
      <c r="F32" s="76"/>
      <c r="G32" s="76"/>
      <c r="J32" s="232" t="s">
        <v>1323</v>
      </c>
      <c r="K32" s="271">
        <v>4.0000000000000001E-3</v>
      </c>
    </row>
    <row r="33" spans="1:11" x14ac:dyDescent="0.25">
      <c r="B33"/>
      <c r="C33" s="274"/>
      <c r="D33" s="275"/>
      <c r="E33" s="276" t="s">
        <v>291</v>
      </c>
      <c r="F33" s="275"/>
      <c r="G33" s="275">
        <f>SUM(G24:G31)</f>
        <v>29.17</v>
      </c>
    </row>
    <row r="36" spans="1:11" x14ac:dyDescent="0.25">
      <c r="A36" s="84" t="s">
        <v>12</v>
      </c>
      <c r="B36" s="84" t="s">
        <v>13</v>
      </c>
    </row>
    <row r="38" spans="1:11" x14ac:dyDescent="0.25">
      <c r="B38" s="218" t="s">
        <v>279</v>
      </c>
      <c r="C38" s="76"/>
      <c r="D38" s="76"/>
      <c r="E38" s="76"/>
      <c r="F38" s="76"/>
      <c r="G38" s="76"/>
    </row>
    <row r="39" spans="1:11" x14ac:dyDescent="0.25">
      <c r="B39" s="76" t="s">
        <v>280</v>
      </c>
      <c r="C39" s="265"/>
      <c r="D39" s="266"/>
      <c r="E39" s="76"/>
      <c r="F39" s="265">
        <v>877</v>
      </c>
      <c r="G39" s="76"/>
    </row>
    <row r="40" spans="1:11" ht="17.25" x14ac:dyDescent="0.4">
      <c r="B40" s="76" t="s">
        <v>281</v>
      </c>
      <c r="C40" s="267"/>
      <c r="D40" s="266"/>
      <c r="E40" s="76"/>
      <c r="F40" s="267">
        <v>-40</v>
      </c>
      <c r="G40" s="76"/>
    </row>
    <row r="41" spans="1:11" x14ac:dyDescent="0.25">
      <c r="B41" s="76" t="s">
        <v>282</v>
      </c>
      <c r="C41" s="265"/>
      <c r="D41" s="266"/>
      <c r="E41" s="76"/>
      <c r="F41" s="265">
        <f>SUM(F39:F40)</f>
        <v>837</v>
      </c>
      <c r="G41" s="76"/>
    </row>
    <row r="42" spans="1:11" ht="17.25" x14ac:dyDescent="0.4">
      <c r="B42" s="268" t="s">
        <v>283</v>
      </c>
      <c r="C42" s="269"/>
      <c r="D42" s="266"/>
      <c r="E42" s="76"/>
      <c r="F42" s="269">
        <v>1.695E-2</v>
      </c>
      <c r="G42" s="76"/>
    </row>
    <row r="43" spans="1:11" x14ac:dyDescent="0.25">
      <c r="B43" s="218" t="s">
        <v>284</v>
      </c>
      <c r="C43" s="266"/>
      <c r="D43" s="270"/>
      <c r="E43" s="76"/>
      <c r="F43" s="76"/>
      <c r="G43" s="270">
        <f>ROUND(F41*F42,2)</f>
        <v>14.19</v>
      </c>
    </row>
    <row r="44" spans="1:11" x14ac:dyDescent="0.25">
      <c r="B44" s="76"/>
      <c r="C44" s="266"/>
      <c r="D44" s="266"/>
      <c r="E44" s="76"/>
      <c r="F44" s="76"/>
      <c r="G44" s="76"/>
      <c r="J44" s="248" t="s">
        <v>285</v>
      </c>
      <c r="K44" s="76"/>
    </row>
    <row r="45" spans="1:11" x14ac:dyDescent="0.25">
      <c r="B45" s="218" t="s">
        <v>262</v>
      </c>
      <c r="C45" s="266"/>
      <c r="D45" s="266"/>
      <c r="E45" s="76"/>
      <c r="F45" s="76"/>
      <c r="G45" s="76"/>
      <c r="J45" s="230" t="s">
        <v>286</v>
      </c>
      <c r="K45" s="230" t="s">
        <v>287</v>
      </c>
    </row>
    <row r="46" spans="1:11" x14ac:dyDescent="0.25">
      <c r="B46" s="76" t="s">
        <v>288</v>
      </c>
      <c r="C46" s="265"/>
      <c r="D46" s="266"/>
      <c r="E46" s="76"/>
      <c r="F46" s="265">
        <v>136000</v>
      </c>
      <c r="G46" s="76"/>
      <c r="J46" s="232" t="s">
        <v>1266</v>
      </c>
      <c r="K46" s="271">
        <v>2.4E-2</v>
      </c>
    </row>
    <row r="47" spans="1:11" ht="17.25" x14ac:dyDescent="0.4">
      <c r="B47" s="268" t="s">
        <v>289</v>
      </c>
      <c r="C47" s="272"/>
      <c r="D47" s="266"/>
      <c r="E47" s="76"/>
      <c r="F47" s="272">
        <v>6.4999999999999997E-3</v>
      </c>
      <c r="G47" s="76"/>
      <c r="J47" s="232" t="s">
        <v>1269</v>
      </c>
      <c r="K47" s="271">
        <v>1.7500000000000002E-2</v>
      </c>
    </row>
    <row r="48" spans="1:11" x14ac:dyDescent="0.25">
      <c r="B48" s="76" t="s">
        <v>260</v>
      </c>
      <c r="C48" s="265"/>
      <c r="D48" s="266"/>
      <c r="E48" s="76"/>
      <c r="F48" s="265">
        <f>F46*F47</f>
        <v>884</v>
      </c>
      <c r="G48" s="76"/>
      <c r="J48" s="232" t="s">
        <v>1271</v>
      </c>
      <c r="K48" s="271">
        <v>1.35E-2</v>
      </c>
    </row>
    <row r="49" spans="1:11" ht="17.25" x14ac:dyDescent="0.4">
      <c r="B49" s="268" t="s">
        <v>283</v>
      </c>
      <c r="C49" s="269"/>
      <c r="D49" s="266"/>
      <c r="E49" s="76"/>
      <c r="F49" s="269">
        <v>1.695E-2</v>
      </c>
      <c r="G49" s="76"/>
      <c r="J49" s="232" t="s">
        <v>1273</v>
      </c>
      <c r="K49" s="271">
        <v>0.01</v>
      </c>
    </row>
    <row r="50" spans="1:11" ht="17.25" x14ac:dyDescent="0.4">
      <c r="B50" s="218" t="s">
        <v>290</v>
      </c>
      <c r="C50" s="76"/>
      <c r="D50" s="273"/>
      <c r="E50" s="273"/>
      <c r="F50" s="273"/>
      <c r="G50" s="273">
        <f>ROUND(F48*F49,2)</f>
        <v>14.98</v>
      </c>
      <c r="J50" s="232" t="s">
        <v>1322</v>
      </c>
      <c r="K50" s="271">
        <v>6.4999999999999997E-3</v>
      </c>
    </row>
    <row r="51" spans="1:11" x14ac:dyDescent="0.25">
      <c r="B51" s="76"/>
      <c r="C51" s="76"/>
      <c r="D51" s="266"/>
      <c r="E51" s="76"/>
      <c r="F51" s="76"/>
      <c r="G51" s="76"/>
      <c r="J51" s="232" t="s">
        <v>1323</v>
      </c>
      <c r="K51" s="271">
        <v>4.0000000000000001E-3</v>
      </c>
    </row>
    <row r="52" spans="1:11" x14ac:dyDescent="0.25">
      <c r="B52"/>
      <c r="C52" s="274"/>
      <c r="D52" s="275"/>
      <c r="E52" s="276" t="s">
        <v>291</v>
      </c>
      <c r="F52" s="275"/>
      <c r="G52" s="275">
        <f>SUM(G43:G50)</f>
        <v>29.17</v>
      </c>
    </row>
    <row r="54" spans="1:11" x14ac:dyDescent="0.25">
      <c r="A54" s="84" t="s">
        <v>15</v>
      </c>
      <c r="B54" s="84" t="s">
        <v>16</v>
      </c>
    </row>
    <row r="56" spans="1:11" x14ac:dyDescent="0.25">
      <c r="B56" s="218" t="s">
        <v>279</v>
      </c>
      <c r="C56" s="76"/>
      <c r="D56" s="76"/>
      <c r="E56" s="76"/>
      <c r="F56" s="76"/>
      <c r="G56" s="76"/>
    </row>
    <row r="57" spans="1:11" x14ac:dyDescent="0.25">
      <c r="B57" s="76" t="s">
        <v>280</v>
      </c>
      <c r="C57" s="265"/>
      <c r="D57" s="76"/>
      <c r="E57" s="76"/>
      <c r="F57" s="265">
        <v>877</v>
      </c>
      <c r="G57" s="76"/>
    </row>
    <row r="58" spans="1:11" ht="17.25" x14ac:dyDescent="0.4">
      <c r="B58" s="76" t="s">
        <v>281</v>
      </c>
      <c r="C58" s="267"/>
      <c r="D58" s="76"/>
      <c r="E58" s="76"/>
      <c r="F58" s="267">
        <v>-40</v>
      </c>
      <c r="G58" s="76"/>
    </row>
    <row r="59" spans="1:11" x14ac:dyDescent="0.25">
      <c r="B59" s="76" t="s">
        <v>282</v>
      </c>
      <c r="C59" s="265"/>
      <c r="D59" s="76"/>
      <c r="E59" s="76"/>
      <c r="F59" s="265">
        <f>SUM(F57:F58)</f>
        <v>837</v>
      </c>
      <c r="G59" s="76"/>
    </row>
    <row r="60" spans="1:11" ht="17.25" x14ac:dyDescent="0.4">
      <c r="B60" s="268" t="s">
        <v>283</v>
      </c>
      <c r="C60" s="269"/>
      <c r="D60" s="76"/>
      <c r="E60" s="76"/>
      <c r="F60" s="269">
        <v>1.695E-2</v>
      </c>
      <c r="G60" s="76"/>
    </row>
    <row r="61" spans="1:11" x14ac:dyDescent="0.25">
      <c r="B61" s="76" t="s">
        <v>292</v>
      </c>
      <c r="C61" s="265"/>
      <c r="D61" s="76"/>
      <c r="E61" s="76"/>
      <c r="F61" s="265">
        <f>F59*F60</f>
        <v>14.187149999999999</v>
      </c>
      <c r="G61" s="76"/>
    </row>
    <row r="62" spans="1:11" ht="17.25" x14ac:dyDescent="0.4">
      <c r="B62" s="268" t="s">
        <v>293</v>
      </c>
      <c r="C62" s="269"/>
      <c r="D62" s="76"/>
      <c r="E62" s="76"/>
      <c r="F62" s="269">
        <v>0.75</v>
      </c>
      <c r="G62" s="76"/>
    </row>
    <row r="63" spans="1:11" x14ac:dyDescent="0.25">
      <c r="B63" s="76" t="s">
        <v>294</v>
      </c>
      <c r="C63" s="265"/>
      <c r="D63" s="76"/>
      <c r="E63" s="76"/>
      <c r="F63" s="265">
        <f>ROUND(F61*F62,2)</f>
        <v>10.64</v>
      </c>
      <c r="G63" s="76"/>
    </row>
    <row r="64" spans="1:11" ht="17.25" x14ac:dyDescent="0.4">
      <c r="B64" s="268" t="s">
        <v>295</v>
      </c>
      <c r="C64" s="267"/>
      <c r="D64" s="76"/>
      <c r="E64" s="76"/>
      <c r="F64" s="267">
        <f>-ROUND(0.75*14.19,2)</f>
        <v>-10.64</v>
      </c>
      <c r="G64" s="76"/>
    </row>
    <row r="65" spans="2:11" x14ac:dyDescent="0.25">
      <c r="B65" s="218" t="s">
        <v>294</v>
      </c>
      <c r="C65" s="76"/>
      <c r="D65" s="277"/>
      <c r="E65" s="277"/>
      <c r="F65" s="277"/>
      <c r="G65" s="277">
        <f>SUM(F63:F64)</f>
        <v>0</v>
      </c>
    </row>
    <row r="66" spans="2:11" x14ac:dyDescent="0.25">
      <c r="B66" s="76"/>
      <c r="C66" s="76"/>
      <c r="D66" s="76"/>
      <c r="E66" s="76"/>
      <c r="F66" s="76"/>
      <c r="G66" s="76"/>
    </row>
    <row r="67" spans="2:11" x14ac:dyDescent="0.25">
      <c r="B67" s="218" t="s">
        <v>262</v>
      </c>
      <c r="C67" s="76"/>
      <c r="D67" s="76"/>
      <c r="E67" s="76"/>
      <c r="F67" s="76"/>
      <c r="G67" s="76"/>
    </row>
    <row r="68" spans="2:11" x14ac:dyDescent="0.25">
      <c r="B68" s="76" t="s">
        <v>296</v>
      </c>
      <c r="C68" s="265"/>
      <c r="D68" s="266"/>
      <c r="E68" s="76"/>
      <c r="F68" s="265">
        <v>199720</v>
      </c>
      <c r="G68" s="76"/>
    </row>
    <row r="69" spans="2:11" ht="17.25" x14ac:dyDescent="0.4">
      <c r="B69" s="268" t="s">
        <v>297</v>
      </c>
      <c r="C69" s="272"/>
      <c r="D69" s="266"/>
      <c r="E69" s="76"/>
      <c r="F69" s="271">
        <v>0.01</v>
      </c>
      <c r="G69" s="76"/>
      <c r="J69" s="248" t="s">
        <v>285</v>
      </c>
      <c r="K69" s="76"/>
    </row>
    <row r="70" spans="2:11" x14ac:dyDescent="0.25">
      <c r="B70" s="76" t="s">
        <v>260</v>
      </c>
      <c r="C70" s="265"/>
      <c r="D70" s="266"/>
      <c r="E70" s="76"/>
      <c r="F70" s="265">
        <f>F68*F69</f>
        <v>1997.2</v>
      </c>
      <c r="G70" s="76"/>
      <c r="J70" s="230" t="s">
        <v>286</v>
      </c>
      <c r="K70" s="230" t="s">
        <v>287</v>
      </c>
    </row>
    <row r="71" spans="2:11" ht="17.25" x14ac:dyDescent="0.4">
      <c r="B71" s="268" t="s">
        <v>283</v>
      </c>
      <c r="C71" s="269"/>
      <c r="D71" s="266"/>
      <c r="E71" s="76"/>
      <c r="F71" s="269">
        <v>1.695E-2</v>
      </c>
      <c r="G71" s="76"/>
      <c r="J71" s="232" t="s">
        <v>1266</v>
      </c>
      <c r="K71" s="271">
        <v>2.4E-2</v>
      </c>
    </row>
    <row r="72" spans="2:11" x14ac:dyDescent="0.25">
      <c r="B72" s="76" t="s">
        <v>298</v>
      </c>
      <c r="C72" s="265"/>
      <c r="D72" s="278"/>
      <c r="E72" s="76"/>
      <c r="F72" s="279">
        <f>ROUND(F70*F71,2)</f>
        <v>33.85</v>
      </c>
      <c r="G72" s="76"/>
      <c r="J72" s="232" t="s">
        <v>1269</v>
      </c>
      <c r="K72" s="271">
        <v>1.7500000000000002E-2</v>
      </c>
    </row>
    <row r="73" spans="2:11" ht="17.25" x14ac:dyDescent="0.4">
      <c r="B73" s="268" t="s">
        <v>293</v>
      </c>
      <c r="C73" s="269"/>
      <c r="D73" s="278"/>
      <c r="E73" s="76"/>
      <c r="F73" s="269">
        <v>0.75</v>
      </c>
      <c r="G73" s="76"/>
      <c r="J73" s="232" t="s">
        <v>1271</v>
      </c>
      <c r="K73" s="271">
        <v>1.35E-2</v>
      </c>
    </row>
    <row r="74" spans="2:11" x14ac:dyDescent="0.25">
      <c r="B74" s="76" t="s">
        <v>299</v>
      </c>
      <c r="C74" s="265"/>
      <c r="D74" s="278"/>
      <c r="E74" s="76"/>
      <c r="F74" s="265">
        <f>ROUND(F72*F73,2)</f>
        <v>25.39</v>
      </c>
      <c r="G74" s="76"/>
      <c r="J74" s="232" t="s">
        <v>1273</v>
      </c>
      <c r="K74" s="271">
        <v>0.01</v>
      </c>
    </row>
    <row r="75" spans="2:11" ht="17.25" x14ac:dyDescent="0.4">
      <c r="B75" s="268" t="s">
        <v>300</v>
      </c>
      <c r="C75" s="267"/>
      <c r="D75" s="76"/>
      <c r="E75" s="76"/>
      <c r="F75" s="280">
        <f>-ROUND(14.98*9/12,2)</f>
        <v>-11.24</v>
      </c>
      <c r="G75" s="76"/>
      <c r="J75" s="232" t="s">
        <v>1322</v>
      </c>
      <c r="K75" s="271">
        <v>6.4999999999999997E-3</v>
      </c>
    </row>
    <row r="76" spans="2:11" x14ac:dyDescent="0.25">
      <c r="B76" s="218" t="s">
        <v>299</v>
      </c>
      <c r="C76" s="266"/>
      <c r="D76" s="270"/>
      <c r="E76" s="270"/>
      <c r="F76" s="270"/>
      <c r="G76" s="270">
        <f>SUM(F74:F75)</f>
        <v>14.15</v>
      </c>
      <c r="J76" s="232" t="s">
        <v>1323</v>
      </c>
      <c r="K76" s="271">
        <v>4.0000000000000001E-3</v>
      </c>
    </row>
    <row r="77" spans="2:11" x14ac:dyDescent="0.25">
      <c r="B77" s="76"/>
      <c r="C77" s="76"/>
      <c r="D77" s="76"/>
      <c r="E77" s="76"/>
      <c r="F77" s="76"/>
      <c r="G77" s="76"/>
    </row>
    <row r="78" spans="2:11" x14ac:dyDescent="0.25">
      <c r="B78" s="76"/>
      <c r="C78" s="274"/>
      <c r="D78" s="275"/>
      <c r="E78" s="276" t="s">
        <v>301</v>
      </c>
      <c r="F78" s="275"/>
      <c r="G78" s="275">
        <f>SUM(G65:G76)</f>
        <v>14.15</v>
      </c>
    </row>
    <row r="79" spans="2:11" x14ac:dyDescent="0.25">
      <c r="B79" s="76"/>
      <c r="C79" s="274"/>
      <c r="D79" s="275"/>
      <c r="E79" s="276"/>
      <c r="F79" s="275"/>
      <c r="G79" s="275"/>
    </row>
    <row r="81" spans="1:13" x14ac:dyDescent="0.25">
      <c r="A81" s="84" t="s">
        <v>17</v>
      </c>
      <c r="B81" s="84" t="s">
        <v>18</v>
      </c>
    </row>
    <row r="83" spans="1:13" x14ac:dyDescent="0.25">
      <c r="B83" s="218" t="s">
        <v>279</v>
      </c>
      <c r="C83" s="76"/>
      <c r="D83" s="76"/>
      <c r="E83" s="76"/>
      <c r="F83" s="76"/>
      <c r="G83" s="76"/>
    </row>
    <row r="84" spans="1:13" x14ac:dyDescent="0.25">
      <c r="B84" s="76" t="s">
        <v>302</v>
      </c>
      <c r="C84" s="265"/>
      <c r="D84" s="76"/>
      <c r="E84" s="76"/>
      <c r="F84" s="265">
        <v>821</v>
      </c>
      <c r="G84" s="76"/>
    </row>
    <row r="85" spans="1:13" ht="17.25" x14ac:dyDescent="0.4">
      <c r="B85" s="76" t="s">
        <v>281</v>
      </c>
      <c r="C85" s="281"/>
      <c r="D85" s="76"/>
      <c r="E85" s="76"/>
      <c r="F85" s="281">
        <v>-40</v>
      </c>
      <c r="G85" s="76"/>
    </row>
    <row r="86" spans="1:13" x14ac:dyDescent="0.25">
      <c r="B86" s="76" t="s">
        <v>282</v>
      </c>
      <c r="C86" s="265"/>
      <c r="D86" s="76"/>
      <c r="E86" s="76"/>
      <c r="F86" s="265">
        <f>SUM(F84:F85)</f>
        <v>781</v>
      </c>
      <c r="G86" s="76"/>
    </row>
    <row r="87" spans="1:13" ht="17.25" x14ac:dyDescent="0.4">
      <c r="B87" s="268" t="s">
        <v>283</v>
      </c>
      <c r="C87" s="269"/>
      <c r="D87" s="76"/>
      <c r="E87" s="76"/>
      <c r="F87" s="269">
        <v>1.695E-2</v>
      </c>
      <c r="G87" s="76"/>
    </row>
    <row r="88" spans="1:13" x14ac:dyDescent="0.25">
      <c r="B88" s="76" t="s">
        <v>292</v>
      </c>
      <c r="C88" s="265"/>
      <c r="D88" s="76"/>
      <c r="E88" s="76"/>
      <c r="F88" s="265">
        <f>F86*F87</f>
        <v>13.23795</v>
      </c>
      <c r="G88" s="76"/>
    </row>
    <row r="89" spans="1:13" ht="17.25" x14ac:dyDescent="0.4">
      <c r="B89" s="268" t="s">
        <v>303</v>
      </c>
      <c r="C89" s="269"/>
      <c r="D89" s="76"/>
      <c r="E89" s="76"/>
      <c r="F89" s="269">
        <f>7/12</f>
        <v>0.58333333333333337</v>
      </c>
      <c r="G89" s="76"/>
    </row>
    <row r="90" spans="1:13" x14ac:dyDescent="0.25">
      <c r="B90" s="218" t="s">
        <v>304</v>
      </c>
      <c r="C90" s="266"/>
      <c r="D90" s="270"/>
      <c r="E90" s="270"/>
      <c r="F90" s="270"/>
      <c r="G90" s="270">
        <f>ROUND(F88*F89,2)</f>
        <v>7.72</v>
      </c>
    </row>
    <row r="91" spans="1:13" x14ac:dyDescent="0.25">
      <c r="B91" s="76"/>
      <c r="C91" s="76"/>
      <c r="D91" s="76"/>
      <c r="E91" s="76"/>
      <c r="F91" s="76"/>
      <c r="G91" s="76"/>
    </row>
    <row r="92" spans="1:13" x14ac:dyDescent="0.25">
      <c r="B92" s="218" t="s">
        <v>262</v>
      </c>
      <c r="C92" s="76"/>
      <c r="D92" s="76"/>
      <c r="E92" s="76"/>
      <c r="F92" s="76"/>
      <c r="G92" s="76"/>
    </row>
    <row r="93" spans="1:13" x14ac:dyDescent="0.25">
      <c r="B93" s="76" t="s">
        <v>305</v>
      </c>
      <c r="C93" s="265"/>
      <c r="D93" s="266"/>
      <c r="E93" s="76"/>
      <c r="F93" s="265">
        <v>190000</v>
      </c>
      <c r="G93" s="76"/>
    </row>
    <row r="94" spans="1:13" ht="17.25" x14ac:dyDescent="0.4">
      <c r="B94" s="268" t="s">
        <v>1324</v>
      </c>
      <c r="C94" s="272"/>
      <c r="D94" s="266"/>
      <c r="E94" s="76"/>
      <c r="F94" s="272">
        <v>2.4E-2</v>
      </c>
      <c r="G94" s="76"/>
      <c r="J94" s="248" t="s">
        <v>285</v>
      </c>
      <c r="K94" s="76"/>
    </row>
    <row r="95" spans="1:13" x14ac:dyDescent="0.25">
      <c r="B95" s="76" t="s">
        <v>260</v>
      </c>
      <c r="C95" s="265"/>
      <c r="D95" s="266"/>
      <c r="E95" s="76"/>
      <c r="F95" s="265">
        <f>F93*F94</f>
        <v>4560</v>
      </c>
      <c r="G95" s="232"/>
      <c r="H95" s="86"/>
      <c r="I95" s="86"/>
      <c r="J95" s="230" t="s">
        <v>286</v>
      </c>
      <c r="K95" s="230" t="s">
        <v>287</v>
      </c>
      <c r="L95" s="86"/>
      <c r="M95" s="86"/>
    </row>
    <row r="96" spans="1:13" ht="17.25" x14ac:dyDescent="0.4">
      <c r="B96" s="268" t="s">
        <v>283</v>
      </c>
      <c r="C96" s="269"/>
      <c r="D96" s="266"/>
      <c r="E96" s="76"/>
      <c r="F96" s="269">
        <v>1.695E-2</v>
      </c>
      <c r="G96" s="232"/>
      <c r="H96" s="86"/>
      <c r="I96" s="86"/>
      <c r="J96" s="232" t="s">
        <v>1266</v>
      </c>
      <c r="K96" s="271">
        <v>2.4E-2</v>
      </c>
      <c r="L96" s="86"/>
      <c r="M96" s="86"/>
    </row>
    <row r="97" spans="1:13" x14ac:dyDescent="0.25">
      <c r="B97" s="76" t="s">
        <v>298</v>
      </c>
      <c r="C97" s="265"/>
      <c r="D97" s="278"/>
      <c r="E97" s="76"/>
      <c r="F97" s="265">
        <f>F95*F96</f>
        <v>77.292000000000002</v>
      </c>
      <c r="G97" s="232"/>
      <c r="H97" s="86"/>
      <c r="I97" s="86"/>
      <c r="J97" s="232" t="s">
        <v>1269</v>
      </c>
      <c r="K97" s="271">
        <v>1.7500000000000002E-2</v>
      </c>
      <c r="L97" s="86"/>
      <c r="M97" s="86"/>
    </row>
    <row r="98" spans="1:13" ht="17.25" x14ac:dyDescent="0.4">
      <c r="B98" s="268" t="s">
        <v>303</v>
      </c>
      <c r="C98" s="269"/>
      <c r="D98" s="278"/>
      <c r="E98" s="76"/>
      <c r="F98" s="269">
        <f>7/12</f>
        <v>0.58333333333333337</v>
      </c>
      <c r="G98" s="76"/>
      <c r="J98" s="232" t="s">
        <v>1271</v>
      </c>
      <c r="K98" s="271">
        <v>1.35E-2</v>
      </c>
    </row>
    <row r="99" spans="1:13" x14ac:dyDescent="0.25">
      <c r="B99" s="218" t="s">
        <v>306</v>
      </c>
      <c r="C99" s="266"/>
      <c r="D99" s="270"/>
      <c r="E99" s="270"/>
      <c r="F99" s="270"/>
      <c r="G99" s="270">
        <f>ROUND(F97*F98,2)</f>
        <v>45.09</v>
      </c>
      <c r="J99" s="232" t="s">
        <v>1273</v>
      </c>
      <c r="K99" s="271">
        <v>0.01</v>
      </c>
    </row>
    <row r="100" spans="1:13" x14ac:dyDescent="0.25">
      <c r="B100" s="76"/>
      <c r="C100" s="76"/>
      <c r="D100" s="76"/>
      <c r="E100" s="76"/>
      <c r="F100" s="76"/>
      <c r="G100" s="76"/>
      <c r="J100" s="232" t="s">
        <v>1322</v>
      </c>
      <c r="K100" s="271">
        <v>6.4999999999999997E-3</v>
      </c>
    </row>
    <row r="101" spans="1:13" x14ac:dyDescent="0.25">
      <c r="B101" s="76"/>
      <c r="C101" s="274"/>
      <c r="D101" s="275"/>
      <c r="E101" s="276" t="s">
        <v>307</v>
      </c>
      <c r="F101" s="275"/>
      <c r="G101" s="275">
        <f>SUM(G90:G99)</f>
        <v>52.81</v>
      </c>
      <c r="J101" s="232" t="s">
        <v>1323</v>
      </c>
      <c r="K101" s="271">
        <v>4.0000000000000001E-3</v>
      </c>
    </row>
    <row r="102" spans="1:13" x14ac:dyDescent="0.25">
      <c r="B102" s="76"/>
      <c r="C102" s="274"/>
      <c r="D102" s="275"/>
      <c r="E102" s="276"/>
      <c r="F102" s="275"/>
      <c r="G102" s="275"/>
    </row>
    <row r="104" spans="1:13" x14ac:dyDescent="0.25">
      <c r="A104" s="84" t="s">
        <v>20</v>
      </c>
      <c r="B104" s="84" t="s">
        <v>21</v>
      </c>
    </row>
    <row r="106" spans="1:13" x14ac:dyDescent="0.25">
      <c r="B106" s="218" t="s">
        <v>279</v>
      </c>
      <c r="C106" s="76"/>
      <c r="D106" s="76"/>
      <c r="E106" s="76"/>
      <c r="F106" s="76"/>
      <c r="G106" s="76"/>
    </row>
    <row r="107" spans="1:13" x14ac:dyDescent="0.25">
      <c r="B107" s="76" t="s">
        <v>280</v>
      </c>
      <c r="C107" s="265"/>
      <c r="D107" s="76"/>
      <c r="E107" s="76"/>
      <c r="F107" s="265">
        <v>877</v>
      </c>
      <c r="G107" s="76"/>
    </row>
    <row r="108" spans="1:13" ht="17.25" x14ac:dyDescent="0.4">
      <c r="B108" s="76" t="s">
        <v>281</v>
      </c>
      <c r="C108" s="282"/>
      <c r="D108" s="76"/>
      <c r="E108" s="76"/>
      <c r="F108" s="283">
        <v>-40</v>
      </c>
      <c r="G108" s="76"/>
    </row>
    <row r="109" spans="1:13" x14ac:dyDescent="0.25">
      <c r="B109" s="76" t="s">
        <v>308</v>
      </c>
      <c r="C109" s="265"/>
      <c r="D109" s="76"/>
      <c r="E109" s="76"/>
      <c r="F109" s="265">
        <f>SUM(F107:F108)</f>
        <v>837</v>
      </c>
      <c r="G109" s="76"/>
    </row>
    <row r="110" spans="1:13" ht="17.25" x14ac:dyDescent="0.4">
      <c r="B110" s="268" t="s">
        <v>283</v>
      </c>
      <c r="C110" s="269"/>
      <c r="D110" s="76"/>
      <c r="E110" s="76"/>
      <c r="F110" s="269">
        <v>1.695E-2</v>
      </c>
      <c r="G110" s="76"/>
    </row>
    <row r="111" spans="1:13" x14ac:dyDescent="0.25">
      <c r="B111" s="76" t="s">
        <v>292</v>
      </c>
      <c r="C111" s="265"/>
      <c r="D111" s="76"/>
      <c r="E111" s="76"/>
      <c r="F111" s="265">
        <f>F109*F110</f>
        <v>14.187149999999999</v>
      </c>
      <c r="G111" s="76"/>
      <c r="J111" s="248" t="s">
        <v>285</v>
      </c>
      <c r="K111" s="76"/>
    </row>
    <row r="112" spans="1:13" ht="17.25" x14ac:dyDescent="0.4">
      <c r="B112" s="268" t="s">
        <v>309</v>
      </c>
      <c r="C112" s="269"/>
      <c r="D112" s="76"/>
      <c r="E112" s="76"/>
      <c r="F112" s="269">
        <v>0.5</v>
      </c>
      <c r="G112" s="76"/>
      <c r="J112" s="230" t="s">
        <v>286</v>
      </c>
      <c r="K112" s="230" t="s">
        <v>287</v>
      </c>
    </row>
    <row r="113" spans="1:13" x14ac:dyDescent="0.25">
      <c r="B113" s="76" t="s">
        <v>310</v>
      </c>
      <c r="C113" s="265"/>
      <c r="D113" s="76"/>
      <c r="E113" s="76"/>
      <c r="F113" s="265">
        <f>ROUND(F111*F112,2)</f>
        <v>7.09</v>
      </c>
      <c r="G113" s="76"/>
      <c r="J113" s="232" t="s">
        <v>1266</v>
      </c>
      <c r="K113" s="271">
        <v>2.4E-2</v>
      </c>
    </row>
    <row r="114" spans="1:13" ht="17.25" x14ac:dyDescent="0.4">
      <c r="B114" s="268" t="s">
        <v>311</v>
      </c>
      <c r="C114" s="267"/>
      <c r="D114" s="76"/>
      <c r="E114" s="76"/>
      <c r="F114" s="267">
        <f>-ROUND(7.72*6/7,2)</f>
        <v>-6.62</v>
      </c>
      <c r="G114" s="76"/>
      <c r="J114" s="232" t="s">
        <v>1269</v>
      </c>
      <c r="K114" s="271">
        <v>1.7500000000000002E-2</v>
      </c>
    </row>
    <row r="115" spans="1:13" x14ac:dyDescent="0.25">
      <c r="B115" s="284" t="s">
        <v>310</v>
      </c>
      <c r="C115" s="274"/>
      <c r="D115" s="270"/>
      <c r="E115" s="270"/>
      <c r="F115" s="270"/>
      <c r="G115" s="270">
        <f>SUM(F113:F114)</f>
        <v>0.46999999999999975</v>
      </c>
      <c r="J115" s="232" t="s">
        <v>1271</v>
      </c>
      <c r="K115" s="271">
        <v>1.35E-2</v>
      </c>
    </row>
    <row r="116" spans="1:13" x14ac:dyDescent="0.25">
      <c r="B116" s="276"/>
      <c r="C116" s="274"/>
      <c r="D116" s="275"/>
      <c r="E116" s="76"/>
      <c r="F116" s="76"/>
      <c r="G116" s="76"/>
      <c r="J116" s="232" t="s">
        <v>1273</v>
      </c>
      <c r="K116" s="271">
        <v>0.01</v>
      </c>
    </row>
    <row r="117" spans="1:13" x14ac:dyDescent="0.25">
      <c r="B117" s="218" t="s">
        <v>290</v>
      </c>
      <c r="C117" s="274"/>
      <c r="D117" s="270"/>
      <c r="E117" s="270"/>
      <c r="F117" s="270"/>
      <c r="G117" s="270">
        <v>0</v>
      </c>
      <c r="J117" s="232" t="s">
        <v>1322</v>
      </c>
      <c r="K117" s="271">
        <v>6.4999999999999997E-3</v>
      </c>
    </row>
    <row r="118" spans="1:13" x14ac:dyDescent="0.25">
      <c r="B118" s="76"/>
      <c r="C118" s="76"/>
      <c r="D118" s="76"/>
      <c r="E118" s="76"/>
      <c r="F118" s="76"/>
      <c r="G118" s="76"/>
      <c r="J118" s="232" t="s">
        <v>1323</v>
      </c>
      <c r="K118" s="271">
        <v>4.0000000000000001E-3</v>
      </c>
    </row>
    <row r="119" spans="1:13" x14ac:dyDescent="0.25">
      <c r="B119" s="76"/>
      <c r="C119" s="266"/>
      <c r="D119" s="275"/>
      <c r="E119" s="276" t="s">
        <v>307</v>
      </c>
      <c r="F119" s="275"/>
      <c r="G119" s="275">
        <f>SUM(G115:G117)</f>
        <v>0.46999999999999975</v>
      </c>
    </row>
    <row r="122" spans="1:13" x14ac:dyDescent="0.25">
      <c r="B122" s="86"/>
      <c r="C122" s="86"/>
      <c r="D122" s="86"/>
      <c r="E122" s="86"/>
      <c r="F122" s="86"/>
      <c r="G122" s="86"/>
      <c r="H122" s="86"/>
      <c r="I122" s="86"/>
      <c r="J122" s="86"/>
      <c r="K122" s="86"/>
      <c r="L122" s="86"/>
      <c r="M122" s="86"/>
    </row>
    <row r="123" spans="1:13" x14ac:dyDescent="0.25">
      <c r="B123" s="86"/>
      <c r="C123" s="86"/>
      <c r="D123" s="86"/>
      <c r="E123" s="86"/>
      <c r="F123" s="86"/>
      <c r="G123" s="86"/>
      <c r="H123" s="86"/>
      <c r="I123" s="86"/>
      <c r="J123" s="86"/>
      <c r="K123" s="86"/>
      <c r="L123" s="86"/>
      <c r="M123" s="86"/>
    </row>
    <row r="124" spans="1:13" x14ac:dyDescent="0.25">
      <c r="A124" s="84" t="s">
        <v>22</v>
      </c>
      <c r="B124" s="84" t="s">
        <v>23</v>
      </c>
    </row>
    <row r="125" spans="1:13" ht="40.5" customHeight="1" x14ac:dyDescent="0.25">
      <c r="B125" s="459" t="s">
        <v>24</v>
      </c>
      <c r="C125" s="459"/>
      <c r="D125" s="459"/>
      <c r="E125" s="459"/>
      <c r="F125" s="459"/>
      <c r="G125" s="459"/>
      <c r="H125" s="459"/>
      <c r="I125" s="459"/>
      <c r="J125" s="459"/>
      <c r="K125" s="459"/>
      <c r="L125" s="86"/>
      <c r="M125" s="86"/>
    </row>
    <row r="126" spans="1:13" x14ac:dyDescent="0.25">
      <c r="B126" s="88"/>
      <c r="C126" s="88"/>
      <c r="D126" s="88"/>
      <c r="E126" s="88"/>
      <c r="F126" s="88"/>
      <c r="G126" s="88"/>
      <c r="H126" s="88"/>
      <c r="I126" s="88"/>
      <c r="J126" s="88"/>
      <c r="K126" s="88"/>
      <c r="L126" s="86"/>
      <c r="M126" s="86"/>
    </row>
    <row r="127" spans="1:13" x14ac:dyDescent="0.25">
      <c r="B127" s="218" t="s">
        <v>312</v>
      </c>
      <c r="C127" s="76"/>
      <c r="D127" s="76"/>
      <c r="E127" s="76"/>
      <c r="F127" s="76"/>
      <c r="G127" s="76"/>
      <c r="H127" s="88"/>
      <c r="I127" s="88"/>
      <c r="J127" s="88"/>
      <c r="K127" s="88"/>
      <c r="L127" s="86"/>
      <c r="M127" s="86"/>
    </row>
    <row r="128" spans="1:13" x14ac:dyDescent="0.25">
      <c r="B128" s="76" t="s">
        <v>313</v>
      </c>
      <c r="C128" s="265"/>
      <c r="D128" s="266"/>
      <c r="E128" s="76"/>
      <c r="F128" s="265">
        <v>70</v>
      </c>
      <c r="G128" s="76"/>
    </row>
    <row r="129" spans="2:13" ht="17.25" x14ac:dyDescent="0.4">
      <c r="B129" s="268" t="s">
        <v>283</v>
      </c>
      <c r="C129" s="269"/>
      <c r="D129" s="266"/>
      <c r="E129" s="76"/>
      <c r="F129" s="269">
        <v>1.695E-2</v>
      </c>
      <c r="G129" s="76"/>
    </row>
    <row r="130" spans="2:13" x14ac:dyDescent="0.25">
      <c r="B130" s="218" t="s">
        <v>314</v>
      </c>
      <c r="C130" s="266"/>
      <c r="D130" s="270"/>
      <c r="E130" s="270"/>
      <c r="F130" s="270"/>
      <c r="G130" s="270">
        <f>ROUND(F128*F129,2)</f>
        <v>1.19</v>
      </c>
    </row>
    <row r="131" spans="2:13" x14ac:dyDescent="0.25">
      <c r="B131" s="76"/>
      <c r="C131" s="266"/>
      <c r="D131" s="266"/>
      <c r="E131" s="76"/>
      <c r="F131" s="76"/>
      <c r="G131" s="76"/>
    </row>
    <row r="132" spans="2:13" x14ac:dyDescent="0.25">
      <c r="B132" s="218" t="s">
        <v>315</v>
      </c>
      <c r="C132" s="266"/>
      <c r="D132" s="266"/>
      <c r="E132" s="76"/>
      <c r="F132" s="76"/>
      <c r="G132" s="76"/>
      <c r="J132" s="248" t="s">
        <v>285</v>
      </c>
      <c r="K132" s="76"/>
    </row>
    <row r="133" spans="2:13" x14ac:dyDescent="0.25">
      <c r="B133" s="76" t="s">
        <v>316</v>
      </c>
      <c r="C133" s="265"/>
      <c r="D133" s="266"/>
      <c r="E133" s="76"/>
      <c r="F133" s="265">
        <v>359000</v>
      </c>
      <c r="G133" s="76"/>
      <c r="J133" s="230" t="s">
        <v>286</v>
      </c>
      <c r="K133" s="230" t="s">
        <v>287</v>
      </c>
    </row>
    <row r="134" spans="2:13" ht="17.25" x14ac:dyDescent="0.4">
      <c r="B134" s="268" t="s">
        <v>317</v>
      </c>
      <c r="C134" s="272"/>
      <c r="D134" s="266"/>
      <c r="E134" s="76"/>
      <c r="F134" s="271">
        <v>1.35E-2</v>
      </c>
      <c r="G134" s="76"/>
      <c r="J134" s="232" t="s">
        <v>1266</v>
      </c>
      <c r="K134" s="271">
        <v>2.4E-2</v>
      </c>
    </row>
    <row r="135" spans="2:13" x14ac:dyDescent="0.25">
      <c r="B135" s="76" t="s">
        <v>260</v>
      </c>
      <c r="C135" s="265"/>
      <c r="D135" s="266"/>
      <c r="E135" s="76"/>
      <c r="F135" s="265">
        <f>F133*F134</f>
        <v>4846.5</v>
      </c>
      <c r="G135" s="76"/>
      <c r="H135" s="86"/>
      <c r="I135" s="86"/>
      <c r="J135" s="232" t="s">
        <v>1269</v>
      </c>
      <c r="K135" s="271">
        <v>1.7500000000000002E-2</v>
      </c>
      <c r="L135" s="86"/>
      <c r="M135" s="86"/>
    </row>
    <row r="136" spans="2:13" ht="17.25" x14ac:dyDescent="0.4">
      <c r="B136" s="268" t="s">
        <v>283</v>
      </c>
      <c r="C136" s="269"/>
      <c r="D136" s="266"/>
      <c r="E136" s="76"/>
      <c r="F136" s="269">
        <v>1.695E-2</v>
      </c>
      <c r="G136" s="76"/>
      <c r="H136" s="86"/>
      <c r="I136" s="86"/>
      <c r="J136" s="232" t="s">
        <v>1271</v>
      </c>
      <c r="K136" s="271">
        <v>1.35E-2</v>
      </c>
      <c r="L136" s="86"/>
      <c r="M136" s="86"/>
    </row>
    <row r="137" spans="2:13" ht="17.25" x14ac:dyDescent="0.4">
      <c r="B137" s="218" t="s">
        <v>290</v>
      </c>
      <c r="C137" s="76"/>
      <c r="D137" s="273"/>
      <c r="E137" s="273"/>
      <c r="F137" s="273"/>
      <c r="G137" s="273">
        <f>ROUND(F135*F136,2)</f>
        <v>82.15</v>
      </c>
      <c r="H137" s="86"/>
      <c r="I137" s="86"/>
      <c r="J137" s="232" t="s">
        <v>1273</v>
      </c>
      <c r="K137" s="271">
        <v>0.01</v>
      </c>
      <c r="L137" s="86"/>
      <c r="M137" s="86"/>
    </row>
    <row r="138" spans="2:13" x14ac:dyDescent="0.25">
      <c r="B138" s="76"/>
      <c r="C138" s="76"/>
      <c r="D138" s="266"/>
      <c r="E138" s="76"/>
      <c r="F138" s="76"/>
      <c r="G138" s="232"/>
      <c r="J138" s="232" t="s">
        <v>1322</v>
      </c>
      <c r="K138" s="271">
        <v>6.4999999999999997E-3</v>
      </c>
    </row>
    <row r="139" spans="2:13" x14ac:dyDescent="0.25">
      <c r="B139" s="76"/>
      <c r="C139" s="274"/>
      <c r="D139" s="275"/>
      <c r="E139" s="276" t="s">
        <v>318</v>
      </c>
      <c r="F139" s="275"/>
      <c r="G139" s="275">
        <f>SUM(G130:G137)</f>
        <v>83.34</v>
      </c>
      <c r="J139" s="232" t="s">
        <v>1323</v>
      </c>
      <c r="K139" s="271">
        <v>4.0000000000000001E-3</v>
      </c>
    </row>
  </sheetData>
  <mergeCells count="3">
    <mergeCell ref="A1:I1"/>
    <mergeCell ref="A3:K6"/>
    <mergeCell ref="B125:K12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9A35D-C336-47C4-9440-50CEDC271C0B}">
  <dimension ref="A1:M163"/>
  <sheetViews>
    <sheetView workbookViewId="0">
      <selection sqref="A1:XFD1048576"/>
    </sheetView>
  </sheetViews>
  <sheetFormatPr defaultRowHeight="15" x14ac:dyDescent="0.25"/>
  <cols>
    <col min="1" max="7" width="9.140625" style="84"/>
    <col min="8" max="8" width="16.140625" style="84" customWidth="1"/>
    <col min="9" max="11" width="9.140625" style="84"/>
    <col min="12" max="12" width="12.140625" style="84" customWidth="1"/>
    <col min="13" max="16384" width="9.140625" style="84"/>
  </cols>
  <sheetData>
    <row r="1" spans="1:13" ht="21" x14ac:dyDescent="0.35">
      <c r="A1" s="457" t="s">
        <v>1325</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12" x14ac:dyDescent="0.25">
      <c r="A17" s="13" t="s">
        <v>10</v>
      </c>
      <c r="B17" s="13" t="s">
        <v>11</v>
      </c>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28" t="s">
        <v>319</v>
      </c>
      <c r="C19" s="29"/>
      <c r="D19" s="29"/>
      <c r="E19" s="29"/>
      <c r="F19" s="29"/>
      <c r="G19" s="29"/>
      <c r="H19" s="29"/>
      <c r="I19" s="13"/>
      <c r="J19" s="13"/>
      <c r="K19" s="13"/>
      <c r="L19" s="13"/>
    </row>
    <row r="20" spans="1:12" x14ac:dyDescent="0.25">
      <c r="A20" s="13"/>
      <c r="B20" s="492" t="s">
        <v>320</v>
      </c>
      <c r="C20" s="492"/>
      <c r="D20" s="492"/>
      <c r="E20" s="30"/>
      <c r="F20" s="492" t="s">
        <v>321</v>
      </c>
      <c r="G20" s="492"/>
      <c r="H20" s="492"/>
      <c r="I20" s="13"/>
      <c r="J20" s="13"/>
      <c r="K20" s="13"/>
      <c r="L20" s="13"/>
    </row>
    <row r="21" spans="1:12" x14ac:dyDescent="0.25">
      <c r="A21" s="13"/>
      <c r="B21" s="493" t="s">
        <v>322</v>
      </c>
      <c r="C21" s="493"/>
      <c r="D21" s="31">
        <v>2003</v>
      </c>
      <c r="E21" s="29"/>
      <c r="F21" s="493" t="s">
        <v>323</v>
      </c>
      <c r="G21" s="493"/>
      <c r="H21" s="32">
        <v>135993.4</v>
      </c>
      <c r="I21" s="13"/>
      <c r="J21" s="13"/>
      <c r="K21" s="13"/>
      <c r="L21" s="13"/>
    </row>
    <row r="22" spans="1:12" x14ac:dyDescent="0.25">
      <c r="A22" s="13"/>
      <c r="B22" s="493" t="s">
        <v>324</v>
      </c>
      <c r="C22" s="493"/>
      <c r="D22" s="285">
        <v>1.695E-2</v>
      </c>
      <c r="E22" s="29"/>
      <c r="F22" s="493" t="s">
        <v>325</v>
      </c>
      <c r="G22" s="493"/>
      <c r="H22" s="33">
        <v>3.2939999999999997E-2</v>
      </c>
      <c r="I22" s="13"/>
      <c r="J22" s="13"/>
      <c r="K22" s="13"/>
      <c r="L22" s="13"/>
    </row>
    <row r="23" spans="1:12" x14ac:dyDescent="0.25">
      <c r="A23" s="13"/>
      <c r="B23" s="493" t="s">
        <v>326</v>
      </c>
      <c r="C23" s="493"/>
      <c r="D23" s="33">
        <v>0.72350000000000003</v>
      </c>
      <c r="E23" s="29"/>
      <c r="F23" s="493" t="s">
        <v>327</v>
      </c>
      <c r="G23" s="493"/>
      <c r="H23" s="285">
        <v>1.695E-2</v>
      </c>
      <c r="I23" s="13"/>
      <c r="J23" s="13"/>
      <c r="K23" s="13"/>
      <c r="L23" s="13"/>
    </row>
    <row r="24" spans="1:12" x14ac:dyDescent="0.25">
      <c r="A24" s="13"/>
      <c r="B24" s="493" t="s">
        <v>328</v>
      </c>
      <c r="C24" s="493"/>
      <c r="D24" s="13">
        <v>24.56</v>
      </c>
      <c r="E24" s="29"/>
      <c r="F24" s="493" t="s">
        <v>329</v>
      </c>
      <c r="G24" s="493"/>
      <c r="H24" s="33">
        <v>1</v>
      </c>
      <c r="I24" s="13"/>
      <c r="J24" s="13"/>
      <c r="K24" s="13"/>
      <c r="L24" s="13"/>
    </row>
    <row r="25" spans="1:12" x14ac:dyDescent="0.25">
      <c r="A25" s="13"/>
      <c r="B25" s="494" t="s">
        <v>330</v>
      </c>
      <c r="C25" s="494"/>
      <c r="D25" s="35">
        <v>25</v>
      </c>
      <c r="E25" s="29"/>
      <c r="F25" s="493" t="s">
        <v>331</v>
      </c>
      <c r="G25" s="493"/>
      <c r="H25" s="34">
        <v>75.930000000000007</v>
      </c>
      <c r="I25" s="13"/>
      <c r="J25" s="13"/>
      <c r="K25" s="13"/>
      <c r="L25" s="13"/>
    </row>
    <row r="26" spans="1:12" x14ac:dyDescent="0.25">
      <c r="A26" s="13"/>
      <c r="B26" s="13"/>
      <c r="C26" s="13"/>
      <c r="D26" s="13"/>
      <c r="E26" s="13"/>
      <c r="F26" s="13"/>
      <c r="G26" s="28"/>
      <c r="H26" s="34"/>
      <c r="I26" s="13"/>
      <c r="J26" s="13"/>
      <c r="K26" s="13"/>
      <c r="L26" s="13"/>
    </row>
    <row r="27" spans="1:12" ht="15.75" thickBot="1" x14ac:dyDescent="0.3">
      <c r="A27" s="13"/>
      <c r="B27" s="34" t="s">
        <v>332</v>
      </c>
      <c r="C27" s="36">
        <v>25</v>
      </c>
      <c r="D27" s="33" t="s">
        <v>333</v>
      </c>
      <c r="E27" s="28">
        <v>75.930000000000007</v>
      </c>
      <c r="F27" s="28" t="s">
        <v>334</v>
      </c>
      <c r="G27" s="37">
        <v>100.93</v>
      </c>
      <c r="H27" s="29" t="s">
        <v>335</v>
      </c>
      <c r="I27" s="13"/>
      <c r="J27" s="13"/>
      <c r="K27" s="13"/>
      <c r="L27" s="13"/>
    </row>
    <row r="28" spans="1:12" x14ac:dyDescent="0.25">
      <c r="A28" s="13"/>
      <c r="B28" s="34"/>
      <c r="C28" s="34"/>
      <c r="D28" s="34"/>
      <c r="E28" s="29"/>
      <c r="F28" s="28"/>
      <c r="G28" s="28"/>
      <c r="H28" s="34"/>
      <c r="I28" s="13"/>
      <c r="J28" s="13"/>
      <c r="K28" s="13"/>
      <c r="L28" s="13"/>
    </row>
    <row r="29" spans="1:12" x14ac:dyDescent="0.25">
      <c r="A29" s="13"/>
      <c r="B29" s="495" t="s">
        <v>336</v>
      </c>
      <c r="C29" s="495"/>
      <c r="D29" s="33"/>
      <c r="E29" s="29"/>
      <c r="F29" s="34"/>
      <c r="G29" s="29"/>
      <c r="H29" s="29"/>
      <c r="I29" s="13"/>
      <c r="J29" s="13"/>
      <c r="K29" s="13"/>
      <c r="L29" s="13"/>
    </row>
    <row r="30" spans="1:12" x14ac:dyDescent="0.25">
      <c r="A30" s="13"/>
      <c r="B30" s="492" t="s">
        <v>320</v>
      </c>
      <c r="C30" s="492"/>
      <c r="D30" s="492"/>
      <c r="E30" s="29"/>
      <c r="F30" s="492" t="s">
        <v>321</v>
      </c>
      <c r="G30" s="492"/>
      <c r="H30" s="492"/>
      <c r="I30" s="13"/>
      <c r="J30" s="13"/>
      <c r="K30" s="13"/>
      <c r="L30" s="13"/>
    </row>
    <row r="31" spans="1:12" x14ac:dyDescent="0.25">
      <c r="A31" s="13"/>
      <c r="B31" s="493" t="s">
        <v>320</v>
      </c>
      <c r="C31" s="493"/>
      <c r="D31" s="31">
        <v>2003</v>
      </c>
      <c r="E31" s="29"/>
      <c r="F31" s="493" t="s">
        <v>337</v>
      </c>
      <c r="G31" s="493"/>
      <c r="H31" s="39">
        <v>187966</v>
      </c>
      <c r="I31" s="13"/>
      <c r="J31" s="13"/>
      <c r="K31" s="13"/>
      <c r="L31" s="13"/>
    </row>
    <row r="32" spans="1:12" x14ac:dyDescent="0.25">
      <c r="A32" s="13"/>
      <c r="B32" s="493" t="s">
        <v>338</v>
      </c>
      <c r="C32" s="493"/>
      <c r="D32" s="285">
        <v>1.695E-2</v>
      </c>
      <c r="E32" s="29"/>
      <c r="F32" s="493" t="s">
        <v>325</v>
      </c>
      <c r="G32" s="493"/>
      <c r="H32" s="33">
        <v>3.2939999999999997E-2</v>
      </c>
      <c r="I32" s="13"/>
      <c r="J32" s="13"/>
      <c r="K32" s="13"/>
      <c r="L32" s="13"/>
    </row>
    <row r="33" spans="1:12" x14ac:dyDescent="0.25">
      <c r="A33" s="13"/>
      <c r="B33" s="493" t="s">
        <v>339</v>
      </c>
      <c r="C33" s="493"/>
      <c r="D33" s="29">
        <v>33.950000000000003</v>
      </c>
      <c r="E33" s="29"/>
      <c r="F33" s="493" t="s">
        <v>327</v>
      </c>
      <c r="G33" s="493"/>
      <c r="H33" s="285">
        <v>1.695E-2</v>
      </c>
      <c r="I33" s="13"/>
      <c r="J33" s="13"/>
      <c r="K33" s="13"/>
      <c r="L33" s="13"/>
    </row>
    <row r="34" spans="1:12" x14ac:dyDescent="0.25">
      <c r="A34" s="13"/>
      <c r="B34" s="494" t="s">
        <v>330</v>
      </c>
      <c r="C34" s="494"/>
      <c r="D34" s="35">
        <v>34</v>
      </c>
      <c r="E34" s="29"/>
      <c r="F34" s="493" t="s">
        <v>329</v>
      </c>
      <c r="G34" s="493"/>
      <c r="H34" s="33">
        <v>1</v>
      </c>
      <c r="I34" s="13"/>
      <c r="J34" s="13"/>
      <c r="K34" s="13"/>
      <c r="L34" s="13"/>
    </row>
    <row r="35" spans="1:12" x14ac:dyDescent="0.25">
      <c r="A35" s="13"/>
      <c r="B35" s="29"/>
      <c r="C35" s="29"/>
      <c r="D35" s="29"/>
      <c r="E35" s="29"/>
      <c r="F35" s="493" t="s">
        <v>331</v>
      </c>
      <c r="G35" s="493"/>
      <c r="H35" s="35">
        <v>104.95</v>
      </c>
      <c r="I35" s="13"/>
      <c r="J35" s="13"/>
      <c r="K35" s="13"/>
      <c r="L35" s="13"/>
    </row>
    <row r="36" spans="1:12" x14ac:dyDescent="0.25">
      <c r="A36" s="13"/>
      <c r="B36" s="29"/>
      <c r="C36" s="29"/>
      <c r="D36" s="29"/>
      <c r="E36" s="29"/>
      <c r="F36" s="29"/>
      <c r="G36" s="29"/>
      <c r="H36" s="29"/>
      <c r="I36" s="13"/>
      <c r="J36" s="13"/>
      <c r="K36" s="13"/>
      <c r="L36" s="13"/>
    </row>
    <row r="37" spans="1:12" ht="15.75" thickBot="1" x14ac:dyDescent="0.3">
      <c r="A37" s="13"/>
      <c r="B37" s="34" t="s">
        <v>332</v>
      </c>
      <c r="C37" s="36">
        <v>34</v>
      </c>
      <c r="D37" s="33" t="s">
        <v>333</v>
      </c>
      <c r="E37" s="40">
        <v>104.95</v>
      </c>
      <c r="F37" s="28" t="s">
        <v>334</v>
      </c>
      <c r="G37" s="41">
        <v>138.94999999999999</v>
      </c>
      <c r="H37" s="29"/>
      <c r="I37" s="13"/>
      <c r="J37" s="13"/>
      <c r="K37" s="13"/>
      <c r="L37" s="13"/>
    </row>
    <row r="38" spans="1:12" x14ac:dyDescent="0.25">
      <c r="A38" s="13"/>
      <c r="B38" s="34"/>
      <c r="C38" s="34"/>
      <c r="D38" s="34"/>
      <c r="E38" s="29"/>
      <c r="F38" s="28"/>
      <c r="G38" s="28"/>
      <c r="H38" s="34"/>
      <c r="I38" s="13"/>
      <c r="J38" s="13"/>
      <c r="K38" s="13"/>
      <c r="L38" s="13"/>
    </row>
    <row r="39" spans="1:12" x14ac:dyDescent="0.25">
      <c r="A39" s="13"/>
      <c r="B39" s="34"/>
      <c r="C39" s="34"/>
      <c r="D39" s="34"/>
      <c r="E39" s="29"/>
      <c r="F39" s="28"/>
      <c r="G39" s="28"/>
      <c r="H39" s="34"/>
      <c r="I39" s="13"/>
      <c r="J39" s="13"/>
      <c r="K39" s="13"/>
      <c r="L39" s="13"/>
    </row>
    <row r="40" spans="1:12" x14ac:dyDescent="0.25">
      <c r="A40" s="13" t="s">
        <v>12</v>
      </c>
      <c r="B40" s="13" t="s">
        <v>13</v>
      </c>
      <c r="C40" s="13"/>
      <c r="D40" s="13"/>
      <c r="E40" s="13"/>
      <c r="F40" s="13"/>
      <c r="G40" s="13"/>
      <c r="H40" s="13"/>
      <c r="I40" s="13"/>
      <c r="J40" s="13"/>
      <c r="K40" s="13"/>
      <c r="L40" s="13"/>
    </row>
    <row r="41" spans="1:12" x14ac:dyDescent="0.25">
      <c r="A41" s="13"/>
      <c r="B41" s="13"/>
      <c r="C41" s="13"/>
      <c r="D41" s="13"/>
      <c r="E41" s="13"/>
      <c r="F41" s="13"/>
      <c r="G41" s="13"/>
      <c r="H41" s="13"/>
      <c r="I41" s="13"/>
      <c r="J41" s="13"/>
      <c r="K41" s="13"/>
      <c r="L41" s="13"/>
    </row>
    <row r="42" spans="1:12" x14ac:dyDescent="0.25">
      <c r="A42" s="13"/>
      <c r="B42" s="28" t="s">
        <v>319</v>
      </c>
      <c r="C42" s="29"/>
      <c r="D42" s="29"/>
      <c r="E42" s="29"/>
      <c r="F42" s="29"/>
      <c r="G42" s="29"/>
      <c r="H42" s="29"/>
      <c r="I42" s="13"/>
      <c r="J42" s="13"/>
      <c r="K42" s="13"/>
      <c r="L42" s="13"/>
    </row>
    <row r="43" spans="1:12" x14ac:dyDescent="0.25">
      <c r="A43" s="13"/>
      <c r="B43" s="492" t="s">
        <v>320</v>
      </c>
      <c r="C43" s="492"/>
      <c r="D43" s="492"/>
      <c r="E43" s="29"/>
      <c r="F43" s="492" t="s">
        <v>321</v>
      </c>
      <c r="G43" s="492"/>
      <c r="H43" s="492"/>
      <c r="I43" s="13"/>
      <c r="J43" s="13"/>
      <c r="K43" s="13"/>
      <c r="L43" s="13"/>
    </row>
    <row r="44" spans="1:12" x14ac:dyDescent="0.25">
      <c r="A44" s="13"/>
      <c r="B44" s="493" t="s">
        <v>320</v>
      </c>
      <c r="C44" s="493"/>
      <c r="D44" s="31">
        <v>2003</v>
      </c>
      <c r="E44" s="29"/>
      <c r="F44" s="493" t="s">
        <v>340</v>
      </c>
      <c r="G44" s="493"/>
      <c r="H44" s="39">
        <v>135993.4</v>
      </c>
      <c r="I44" s="13"/>
      <c r="J44" s="13"/>
      <c r="K44" s="13"/>
      <c r="L44" s="13"/>
    </row>
    <row r="45" spans="1:12" x14ac:dyDescent="0.25">
      <c r="A45" s="13"/>
      <c r="B45" s="493" t="s">
        <v>324</v>
      </c>
      <c r="C45" s="493"/>
      <c r="D45" s="285">
        <v>1.695E-2</v>
      </c>
      <c r="E45" s="29"/>
      <c r="F45" s="493" t="s">
        <v>325</v>
      </c>
      <c r="G45" s="493"/>
      <c r="H45" s="33">
        <v>3.2939999999999997E-2</v>
      </c>
      <c r="I45" s="13"/>
      <c r="J45" s="13"/>
      <c r="K45" s="13"/>
      <c r="L45" s="13"/>
    </row>
    <row r="46" spans="1:12" x14ac:dyDescent="0.25">
      <c r="A46" s="13"/>
      <c r="B46" s="493" t="s">
        <v>326</v>
      </c>
      <c r="C46" s="493"/>
      <c r="D46" s="33">
        <v>0.72350000000000003</v>
      </c>
      <c r="E46" s="29"/>
      <c r="F46" s="493" t="s">
        <v>327</v>
      </c>
      <c r="G46" s="493"/>
      <c r="H46" s="285">
        <v>1.695E-2</v>
      </c>
      <c r="I46" s="13"/>
      <c r="J46" s="13"/>
      <c r="K46" s="13"/>
      <c r="L46" s="13"/>
    </row>
    <row r="47" spans="1:12" x14ac:dyDescent="0.25">
      <c r="A47" s="13"/>
      <c r="B47" s="493" t="s">
        <v>341</v>
      </c>
      <c r="C47" s="493"/>
      <c r="D47" s="13">
        <v>24.56</v>
      </c>
      <c r="E47" s="29"/>
      <c r="F47" s="493" t="s">
        <v>329</v>
      </c>
      <c r="G47" s="493"/>
      <c r="H47" s="33">
        <v>1</v>
      </c>
      <c r="I47" s="13"/>
      <c r="J47" s="13"/>
      <c r="K47" s="13"/>
      <c r="L47" s="13"/>
    </row>
    <row r="48" spans="1:12" x14ac:dyDescent="0.25">
      <c r="A48" s="13"/>
      <c r="B48" s="494" t="s">
        <v>330</v>
      </c>
      <c r="C48" s="494"/>
      <c r="D48" s="35">
        <v>25</v>
      </c>
      <c r="E48" s="29"/>
      <c r="F48" s="493" t="s">
        <v>331</v>
      </c>
      <c r="G48" s="493"/>
      <c r="H48" s="35">
        <v>75.930000000000007</v>
      </c>
      <c r="I48" s="13"/>
      <c r="J48" s="13"/>
      <c r="K48" s="13"/>
      <c r="L48" s="13"/>
    </row>
    <row r="49" spans="1:13" x14ac:dyDescent="0.25">
      <c r="A49" s="13"/>
      <c r="B49" s="29"/>
      <c r="C49" s="29"/>
      <c r="D49" s="29"/>
      <c r="E49" s="29"/>
      <c r="F49" s="29"/>
      <c r="G49" s="29"/>
      <c r="H49" s="29"/>
      <c r="I49" s="13"/>
      <c r="J49" s="13"/>
      <c r="K49" s="13"/>
      <c r="L49" s="13"/>
      <c r="M49" s="86"/>
    </row>
    <row r="50" spans="1:13" ht="15.75" thickBot="1" x14ac:dyDescent="0.3">
      <c r="A50" s="13"/>
      <c r="B50" s="34" t="s">
        <v>342</v>
      </c>
      <c r="C50" s="36">
        <v>25</v>
      </c>
      <c r="D50" s="33" t="s">
        <v>333</v>
      </c>
      <c r="E50" s="28">
        <v>75.930000000000007</v>
      </c>
      <c r="F50" s="28" t="s">
        <v>334</v>
      </c>
      <c r="G50" s="37">
        <v>100.93</v>
      </c>
      <c r="H50" s="29" t="s">
        <v>335</v>
      </c>
      <c r="I50" s="13"/>
      <c r="J50" s="13"/>
      <c r="K50" s="13"/>
      <c r="L50" s="13"/>
      <c r="M50" s="86"/>
    </row>
    <row r="51" spans="1:13" x14ac:dyDescent="0.25">
      <c r="A51" s="13"/>
      <c r="B51" s="34"/>
      <c r="C51" s="33"/>
      <c r="D51" s="33"/>
      <c r="E51" s="34"/>
      <c r="F51" s="29"/>
      <c r="G51" s="34"/>
      <c r="H51" s="29"/>
      <c r="I51" s="13"/>
      <c r="J51" s="13"/>
      <c r="K51" s="13"/>
      <c r="L51" s="13"/>
      <c r="M51" s="86"/>
    </row>
    <row r="52" spans="1:13" x14ac:dyDescent="0.25">
      <c r="A52" s="13"/>
      <c r="B52" s="495" t="s">
        <v>336</v>
      </c>
      <c r="C52" s="495"/>
      <c r="D52" s="29"/>
      <c r="E52" s="34"/>
      <c r="F52" s="29"/>
      <c r="G52" s="29"/>
      <c r="H52" s="29"/>
      <c r="I52" s="13"/>
      <c r="J52" s="13"/>
      <c r="K52" s="13"/>
      <c r="L52" s="13"/>
    </row>
    <row r="53" spans="1:13" x14ac:dyDescent="0.25">
      <c r="A53" s="13"/>
      <c r="B53" s="492" t="s">
        <v>320</v>
      </c>
      <c r="C53" s="492"/>
      <c r="D53" s="492"/>
      <c r="E53" s="29"/>
      <c r="F53" s="492" t="s">
        <v>321</v>
      </c>
      <c r="G53" s="492"/>
      <c r="H53" s="492"/>
      <c r="I53" s="13"/>
      <c r="J53" s="13"/>
      <c r="K53" s="13"/>
      <c r="L53" s="13"/>
    </row>
    <row r="54" spans="1:13" x14ac:dyDescent="0.25">
      <c r="A54" s="13"/>
      <c r="B54" s="493" t="s">
        <v>320</v>
      </c>
      <c r="C54" s="493"/>
      <c r="D54" s="31">
        <v>2003</v>
      </c>
      <c r="E54" s="29"/>
      <c r="F54" s="493" t="s">
        <v>337</v>
      </c>
      <c r="G54" s="493"/>
      <c r="H54" s="39">
        <v>187966</v>
      </c>
      <c r="I54" s="13"/>
      <c r="J54" s="13"/>
      <c r="K54" s="13"/>
      <c r="L54" s="13"/>
    </row>
    <row r="55" spans="1:13" x14ac:dyDescent="0.25">
      <c r="A55" s="13"/>
      <c r="B55" s="493" t="s">
        <v>324</v>
      </c>
      <c r="C55" s="493"/>
      <c r="D55" s="285">
        <v>1.695E-2</v>
      </c>
      <c r="E55" s="29"/>
      <c r="F55" s="493" t="s">
        <v>325</v>
      </c>
      <c r="G55" s="493"/>
      <c r="H55" s="33">
        <v>3.2939999999999997E-2</v>
      </c>
      <c r="I55" s="13"/>
      <c r="J55" s="13"/>
      <c r="K55" s="13"/>
      <c r="L55" s="13"/>
    </row>
    <row r="56" spans="1:13" x14ac:dyDescent="0.25">
      <c r="A56" s="13"/>
      <c r="B56" s="493" t="s">
        <v>341</v>
      </c>
      <c r="C56" s="493"/>
      <c r="D56" s="29">
        <v>33.950000000000003</v>
      </c>
      <c r="E56" s="29"/>
      <c r="F56" s="493" t="s">
        <v>327</v>
      </c>
      <c r="G56" s="493"/>
      <c r="H56" s="285">
        <v>1.695E-2</v>
      </c>
      <c r="I56" s="13"/>
      <c r="J56" s="13"/>
      <c r="K56" s="13"/>
      <c r="L56" s="13"/>
    </row>
    <row r="57" spans="1:13" x14ac:dyDescent="0.25">
      <c r="A57" s="13"/>
      <c r="B57" s="494" t="s">
        <v>330</v>
      </c>
      <c r="C57" s="494"/>
      <c r="D57" s="35">
        <v>34</v>
      </c>
      <c r="E57" s="29"/>
      <c r="F57" s="493" t="s">
        <v>329</v>
      </c>
      <c r="G57" s="493"/>
      <c r="H57" s="33">
        <v>1</v>
      </c>
      <c r="I57" s="13"/>
      <c r="J57" s="13"/>
      <c r="K57" s="13"/>
      <c r="L57" s="13"/>
    </row>
    <row r="58" spans="1:13" x14ac:dyDescent="0.25">
      <c r="A58" s="13"/>
      <c r="B58" s="29"/>
      <c r="C58" s="29"/>
      <c r="D58" s="29"/>
      <c r="E58" s="29"/>
      <c r="F58" s="493" t="s">
        <v>331</v>
      </c>
      <c r="G58" s="493"/>
      <c r="H58" s="35">
        <v>104.95</v>
      </c>
      <c r="I58" s="13"/>
      <c r="J58" s="13"/>
      <c r="K58" s="13"/>
      <c r="L58" s="13"/>
    </row>
    <row r="59" spans="1:13" x14ac:dyDescent="0.25">
      <c r="A59" s="13"/>
      <c r="B59" s="29"/>
      <c r="C59" s="29"/>
      <c r="D59" s="29"/>
      <c r="E59" s="29"/>
      <c r="F59" s="29"/>
      <c r="G59" s="29"/>
      <c r="H59" s="29"/>
      <c r="I59" s="13"/>
      <c r="J59" s="13"/>
      <c r="K59" s="13"/>
      <c r="L59" s="13"/>
    </row>
    <row r="60" spans="1:13" ht="15.75" thickBot="1" x14ac:dyDescent="0.3">
      <c r="A60" s="13"/>
      <c r="B60" s="34" t="s">
        <v>332</v>
      </c>
      <c r="C60" s="36">
        <v>34</v>
      </c>
      <c r="D60" s="33" t="s">
        <v>333</v>
      </c>
      <c r="E60" s="40">
        <v>104.95</v>
      </c>
      <c r="F60" s="28" t="s">
        <v>334</v>
      </c>
      <c r="G60" s="41">
        <v>138.94999999999999</v>
      </c>
      <c r="H60" s="29"/>
      <c r="I60" s="13"/>
      <c r="J60" s="13"/>
      <c r="K60" s="13"/>
      <c r="L60" s="13"/>
    </row>
    <row r="61" spans="1:13" x14ac:dyDescent="0.25">
      <c r="A61" s="13"/>
      <c r="B61" s="34"/>
      <c r="C61" s="33"/>
      <c r="D61" s="33"/>
      <c r="E61" s="34"/>
      <c r="F61" s="29"/>
      <c r="G61" s="29"/>
      <c r="H61" s="29"/>
      <c r="I61" s="13"/>
      <c r="J61" s="13"/>
      <c r="K61" s="13"/>
      <c r="L61" s="13"/>
    </row>
    <row r="62" spans="1:13" x14ac:dyDescent="0.25">
      <c r="A62" s="13"/>
      <c r="B62" s="13"/>
      <c r="C62" s="13"/>
      <c r="D62" s="13"/>
      <c r="E62" s="13"/>
      <c r="F62" s="13"/>
      <c r="G62" s="13"/>
      <c r="H62" s="13"/>
      <c r="I62" s="13"/>
      <c r="J62" s="13"/>
      <c r="K62" s="13"/>
      <c r="L62" s="13"/>
    </row>
    <row r="63" spans="1:13" x14ac:dyDescent="0.25">
      <c r="A63" s="13" t="s">
        <v>15</v>
      </c>
      <c r="B63" s="13" t="s">
        <v>16</v>
      </c>
      <c r="C63" s="13"/>
      <c r="D63" s="13"/>
      <c r="E63" s="13"/>
      <c r="F63" s="13"/>
      <c r="G63" s="13"/>
      <c r="H63" s="13"/>
      <c r="I63" s="13"/>
      <c r="J63" s="13"/>
      <c r="K63" s="13"/>
      <c r="L63" s="13"/>
    </row>
    <row r="64" spans="1:13" x14ac:dyDescent="0.25">
      <c r="A64" s="13"/>
      <c r="B64" s="13"/>
      <c r="C64" s="13"/>
      <c r="D64" s="13"/>
      <c r="E64" s="13"/>
      <c r="F64" s="13"/>
      <c r="G64" s="13"/>
      <c r="H64" s="13"/>
      <c r="I64" s="13"/>
      <c r="J64" s="13"/>
      <c r="K64" s="13"/>
      <c r="L64" s="13"/>
    </row>
    <row r="65" spans="1:13" x14ac:dyDescent="0.25">
      <c r="A65" s="13"/>
      <c r="B65" s="494" t="s">
        <v>343</v>
      </c>
      <c r="C65" s="494"/>
      <c r="D65" s="494"/>
      <c r="E65" s="494"/>
      <c r="F65" s="494"/>
      <c r="G65" s="29"/>
      <c r="H65" s="29"/>
      <c r="I65" s="29"/>
      <c r="J65" s="29"/>
      <c r="K65" s="29"/>
      <c r="L65" s="29"/>
      <c r="M65" s="86"/>
    </row>
    <row r="66" spans="1:13" x14ac:dyDescent="0.25">
      <c r="A66" s="13"/>
      <c r="B66" s="493" t="s">
        <v>319</v>
      </c>
      <c r="C66" s="493"/>
      <c r="D66" s="493"/>
      <c r="E66" s="493"/>
      <c r="F66" s="493"/>
      <c r="G66" s="29"/>
      <c r="H66" s="29"/>
      <c r="I66" s="29"/>
      <c r="J66" s="29"/>
      <c r="K66" s="29"/>
      <c r="L66" s="29"/>
      <c r="M66" s="86"/>
    </row>
    <row r="67" spans="1:13" x14ac:dyDescent="0.25">
      <c r="A67" s="13"/>
      <c r="B67" s="492" t="s">
        <v>344</v>
      </c>
      <c r="C67" s="492"/>
      <c r="D67" s="492"/>
      <c r="E67" s="29"/>
      <c r="F67" s="492" t="s">
        <v>345</v>
      </c>
      <c r="G67" s="492"/>
      <c r="H67" s="492"/>
      <c r="I67" s="29"/>
      <c r="J67" s="492" t="s">
        <v>346</v>
      </c>
      <c r="K67" s="492"/>
      <c r="L67" s="492"/>
    </row>
    <row r="68" spans="1:13" ht="40.5" customHeight="1" x14ac:dyDescent="0.25">
      <c r="A68" s="13"/>
      <c r="B68" s="493" t="s">
        <v>320</v>
      </c>
      <c r="C68" s="493"/>
      <c r="D68" s="31">
        <v>2003</v>
      </c>
      <c r="E68" s="29"/>
      <c r="F68" s="493" t="s">
        <v>320</v>
      </c>
      <c r="G68" s="493"/>
      <c r="H68" s="31">
        <v>2003</v>
      </c>
      <c r="I68" s="29"/>
      <c r="J68" s="493" t="s">
        <v>340</v>
      </c>
      <c r="K68" s="493"/>
      <c r="L68" s="39">
        <v>199720</v>
      </c>
      <c r="M68" s="86"/>
    </row>
    <row r="69" spans="1:13" x14ac:dyDescent="0.25">
      <c r="A69" s="13"/>
      <c r="B69" s="493" t="s">
        <v>347</v>
      </c>
      <c r="C69" s="493"/>
      <c r="D69" s="33">
        <v>0.75</v>
      </c>
      <c r="E69" s="29"/>
      <c r="F69" s="493" t="s">
        <v>348</v>
      </c>
      <c r="G69" s="493"/>
      <c r="H69" s="33">
        <v>0.75</v>
      </c>
      <c r="I69" s="29"/>
      <c r="J69" s="493" t="s">
        <v>349</v>
      </c>
      <c r="K69" s="493"/>
      <c r="L69" s="33">
        <v>3.2939999999999997E-2</v>
      </c>
      <c r="M69" s="86"/>
    </row>
    <row r="70" spans="1:13" x14ac:dyDescent="0.25">
      <c r="A70" s="13"/>
      <c r="B70" s="493" t="s">
        <v>324</v>
      </c>
      <c r="C70" s="493"/>
      <c r="D70" s="285">
        <v>1.695E-2</v>
      </c>
      <c r="E70" s="29"/>
      <c r="F70" s="493" t="s">
        <v>350</v>
      </c>
      <c r="G70" s="493"/>
      <c r="H70" s="285">
        <v>1.695E-2</v>
      </c>
      <c r="I70" s="29"/>
      <c r="J70" s="493" t="s">
        <v>351</v>
      </c>
      <c r="K70" s="493"/>
      <c r="L70" s="285">
        <v>1.695E-2</v>
      </c>
      <c r="M70" s="86"/>
    </row>
    <row r="71" spans="1:13" x14ac:dyDescent="0.25">
      <c r="A71" s="13"/>
      <c r="B71" s="493" t="s">
        <v>326</v>
      </c>
      <c r="C71" s="493"/>
      <c r="D71" s="33">
        <v>0.72350000000000003</v>
      </c>
      <c r="E71" s="29"/>
      <c r="F71" s="493" t="s">
        <v>352</v>
      </c>
      <c r="G71" s="493"/>
      <c r="H71" s="33">
        <v>0.72350000000000003</v>
      </c>
      <c r="I71" s="29"/>
      <c r="J71" s="493" t="s">
        <v>353</v>
      </c>
      <c r="K71" s="493"/>
      <c r="L71" s="33">
        <v>0.75</v>
      </c>
    </row>
    <row r="72" spans="1:13" x14ac:dyDescent="0.25">
      <c r="A72" s="13"/>
      <c r="B72" s="493" t="s">
        <v>341</v>
      </c>
      <c r="C72" s="493"/>
      <c r="D72" s="29">
        <v>18.420000000000002</v>
      </c>
      <c r="E72" s="29"/>
      <c r="F72" s="493" t="s">
        <v>341</v>
      </c>
      <c r="G72" s="493"/>
      <c r="H72" s="29">
        <v>18.420000000000002</v>
      </c>
      <c r="I72" s="29"/>
      <c r="J72" s="493" t="s">
        <v>331</v>
      </c>
      <c r="K72" s="493"/>
      <c r="L72" s="35">
        <v>83.63</v>
      </c>
    </row>
    <row r="73" spans="1:13" x14ac:dyDescent="0.25">
      <c r="A73" s="13"/>
      <c r="B73" s="494" t="s">
        <v>330</v>
      </c>
      <c r="C73" s="494"/>
      <c r="D73" s="35">
        <v>18</v>
      </c>
      <c r="E73" s="29"/>
      <c r="F73" s="494" t="s">
        <v>330</v>
      </c>
      <c r="G73" s="494"/>
      <c r="H73" s="35">
        <v>18</v>
      </c>
      <c r="I73" s="29"/>
      <c r="J73" s="29"/>
      <c r="K73" s="29"/>
      <c r="L73" s="29"/>
    </row>
    <row r="74" spans="1:13" x14ac:dyDescent="0.25">
      <c r="A74" s="13"/>
      <c r="B74" s="29"/>
      <c r="C74" s="29"/>
      <c r="D74" s="29"/>
      <c r="E74" s="29"/>
      <c r="F74" s="29"/>
      <c r="G74" s="29"/>
      <c r="H74" s="29"/>
      <c r="I74" s="29"/>
      <c r="J74" s="29"/>
      <c r="K74" s="29"/>
      <c r="L74" s="29"/>
    </row>
    <row r="75" spans="1:13" ht="15.75" thickBot="1" x14ac:dyDescent="0.3">
      <c r="A75" s="13"/>
      <c r="B75" s="34" t="s">
        <v>342</v>
      </c>
      <c r="C75" s="36">
        <v>18</v>
      </c>
      <c r="D75" s="33" t="s">
        <v>354</v>
      </c>
      <c r="E75" s="36">
        <v>18</v>
      </c>
      <c r="F75" s="29" t="s">
        <v>333</v>
      </c>
      <c r="G75" s="40">
        <v>83.63</v>
      </c>
      <c r="H75" s="29" t="s">
        <v>334</v>
      </c>
      <c r="I75" s="41">
        <v>83.63</v>
      </c>
      <c r="J75" s="29" t="s">
        <v>335</v>
      </c>
      <c r="K75" s="29"/>
      <c r="L75" s="29"/>
    </row>
    <row r="76" spans="1:13" x14ac:dyDescent="0.25">
      <c r="A76" s="13"/>
      <c r="B76" s="34"/>
      <c r="C76" s="33"/>
      <c r="D76" s="33"/>
      <c r="E76" s="33"/>
      <c r="F76" s="28"/>
      <c r="G76" s="28"/>
      <c r="H76" s="29"/>
      <c r="I76" s="29"/>
      <c r="J76" s="29"/>
      <c r="K76" s="29"/>
      <c r="L76" s="29"/>
    </row>
    <row r="77" spans="1:13" x14ac:dyDescent="0.25">
      <c r="A77" s="13"/>
      <c r="B77" s="38" t="s">
        <v>336</v>
      </c>
      <c r="C77" s="33"/>
      <c r="D77" s="29"/>
      <c r="E77" s="34"/>
      <c r="F77" s="29"/>
      <c r="G77" s="29"/>
      <c r="H77" s="29"/>
      <c r="I77" s="29"/>
      <c r="J77" s="29"/>
      <c r="K77" s="29"/>
      <c r="L77" s="29"/>
    </row>
    <row r="78" spans="1:13" x14ac:dyDescent="0.25">
      <c r="A78" s="13"/>
      <c r="B78" s="492" t="s">
        <v>344</v>
      </c>
      <c r="C78" s="492"/>
      <c r="D78" s="492"/>
      <c r="E78" s="29"/>
      <c r="F78" s="492" t="s">
        <v>345</v>
      </c>
      <c r="G78" s="492"/>
      <c r="H78" s="492"/>
      <c r="I78" s="29"/>
      <c r="J78" s="492" t="s">
        <v>346</v>
      </c>
      <c r="K78" s="492"/>
      <c r="L78" s="492"/>
      <c r="M78" s="86"/>
    </row>
    <row r="79" spans="1:13" x14ac:dyDescent="0.25">
      <c r="A79" s="13"/>
      <c r="B79" s="493" t="s">
        <v>320</v>
      </c>
      <c r="C79" s="493"/>
      <c r="D79" s="29">
        <v>2003</v>
      </c>
      <c r="E79" s="29"/>
      <c r="F79" s="493" t="s">
        <v>320</v>
      </c>
      <c r="G79" s="493"/>
      <c r="H79" s="29">
        <v>2003</v>
      </c>
      <c r="I79" s="29"/>
      <c r="J79" s="493" t="s">
        <v>337</v>
      </c>
      <c r="K79" s="493"/>
      <c r="L79" s="286">
        <v>276033</v>
      </c>
      <c r="M79" s="86"/>
    </row>
    <row r="80" spans="1:13" x14ac:dyDescent="0.25">
      <c r="A80" s="13"/>
      <c r="B80" s="493" t="s">
        <v>355</v>
      </c>
      <c r="C80" s="493"/>
      <c r="D80" s="33">
        <v>273</v>
      </c>
      <c r="E80" s="29"/>
      <c r="F80" s="493" t="s">
        <v>356</v>
      </c>
      <c r="G80" s="493"/>
      <c r="H80" s="33">
        <v>273</v>
      </c>
      <c r="I80" s="29"/>
      <c r="J80" s="493" t="s">
        <v>349</v>
      </c>
      <c r="K80" s="493"/>
      <c r="L80" s="33">
        <v>3.2939999999999997E-2</v>
      </c>
      <c r="M80" s="86"/>
    </row>
    <row r="81" spans="1:12" x14ac:dyDescent="0.25">
      <c r="A81" s="13"/>
      <c r="B81" s="493" t="s">
        <v>357</v>
      </c>
      <c r="C81" s="493"/>
      <c r="D81" s="33">
        <v>365</v>
      </c>
      <c r="E81" s="29"/>
      <c r="F81" s="493" t="s">
        <v>358</v>
      </c>
      <c r="G81" s="493"/>
      <c r="H81" s="33">
        <v>365</v>
      </c>
      <c r="I81" s="29"/>
      <c r="J81" s="493" t="s">
        <v>351</v>
      </c>
      <c r="K81" s="493"/>
      <c r="L81" s="285">
        <v>1.695E-2</v>
      </c>
    </row>
    <row r="82" spans="1:12" x14ac:dyDescent="0.25">
      <c r="A82" s="13"/>
      <c r="B82" s="493" t="s">
        <v>324</v>
      </c>
      <c r="C82" s="493"/>
      <c r="D82" s="285">
        <v>1.695E-2</v>
      </c>
      <c r="E82" s="29"/>
      <c r="F82" s="493" t="s">
        <v>359</v>
      </c>
      <c r="G82" s="493"/>
      <c r="H82" s="285">
        <v>1.695E-2</v>
      </c>
      <c r="I82" s="29"/>
      <c r="J82" s="493" t="s">
        <v>353</v>
      </c>
      <c r="K82" s="493"/>
      <c r="L82" s="33">
        <v>0.75</v>
      </c>
    </row>
    <row r="83" spans="1:12" x14ac:dyDescent="0.25">
      <c r="A83" s="13"/>
      <c r="B83" s="493" t="s">
        <v>341</v>
      </c>
      <c r="C83" s="493"/>
      <c r="D83" s="29">
        <v>25.39</v>
      </c>
      <c r="E83" s="29"/>
      <c r="F83" s="493" t="s">
        <v>341</v>
      </c>
      <c r="G83" s="493"/>
      <c r="H83" s="29">
        <v>25.39</v>
      </c>
      <c r="I83" s="29"/>
      <c r="J83" s="493" t="s">
        <v>331</v>
      </c>
      <c r="K83" s="493"/>
      <c r="L83" s="35">
        <v>115.59</v>
      </c>
    </row>
    <row r="84" spans="1:12" x14ac:dyDescent="0.25">
      <c r="A84" s="13"/>
      <c r="B84" s="494" t="s">
        <v>330</v>
      </c>
      <c r="C84" s="494"/>
      <c r="D84" s="35">
        <v>25</v>
      </c>
      <c r="E84" s="29"/>
      <c r="F84" s="494" t="s">
        <v>330</v>
      </c>
      <c r="G84" s="494"/>
      <c r="H84" s="35">
        <v>25</v>
      </c>
      <c r="I84" s="29"/>
      <c r="J84" s="29"/>
      <c r="K84" s="29"/>
      <c r="L84" s="29"/>
    </row>
    <row r="85" spans="1:12" x14ac:dyDescent="0.25">
      <c r="A85" s="13"/>
      <c r="B85" s="34"/>
      <c r="C85" s="33"/>
      <c r="D85" s="29"/>
      <c r="E85" s="34"/>
      <c r="F85" s="29"/>
      <c r="G85" s="29"/>
      <c r="H85" s="29"/>
      <c r="I85" s="29"/>
      <c r="J85" s="29"/>
      <c r="K85" s="29"/>
      <c r="L85" s="29"/>
    </row>
    <row r="86" spans="1:12" ht="15.75" thickBot="1" x14ac:dyDescent="0.3">
      <c r="A86" s="13"/>
      <c r="B86" s="34" t="s">
        <v>360</v>
      </c>
      <c r="C86" s="36">
        <v>25</v>
      </c>
      <c r="D86" s="33" t="s">
        <v>354</v>
      </c>
      <c r="E86" s="36">
        <v>25</v>
      </c>
      <c r="F86" s="28" t="s">
        <v>333</v>
      </c>
      <c r="G86" s="40">
        <v>115.59</v>
      </c>
      <c r="H86" s="29" t="s">
        <v>334</v>
      </c>
      <c r="I86" s="41">
        <v>140.59</v>
      </c>
      <c r="J86" s="29"/>
      <c r="K86" s="29"/>
      <c r="L86" s="29"/>
    </row>
    <row r="87" spans="1:12" x14ac:dyDescent="0.25">
      <c r="A87" s="13"/>
      <c r="B87" s="34"/>
      <c r="C87" s="33"/>
      <c r="D87" s="33"/>
      <c r="E87" s="33"/>
      <c r="F87" s="34"/>
      <c r="G87" s="13"/>
      <c r="H87" s="13"/>
      <c r="I87" s="13"/>
      <c r="J87" s="13"/>
      <c r="K87" s="13"/>
      <c r="L87" s="13"/>
    </row>
    <row r="88" spans="1:12" x14ac:dyDescent="0.25">
      <c r="A88" s="13"/>
      <c r="B88" s="13"/>
      <c r="C88" s="13"/>
      <c r="D88" s="13"/>
      <c r="E88" s="13"/>
      <c r="F88" s="13"/>
      <c r="G88" s="13"/>
      <c r="H88" s="13"/>
      <c r="I88" s="13"/>
      <c r="J88" s="13"/>
      <c r="K88" s="13"/>
      <c r="L88" s="13"/>
    </row>
    <row r="89" spans="1:12" x14ac:dyDescent="0.25">
      <c r="A89" s="13" t="s">
        <v>17</v>
      </c>
      <c r="B89" s="13" t="s">
        <v>18</v>
      </c>
      <c r="C89" s="13"/>
      <c r="D89" s="13"/>
      <c r="E89" s="13"/>
      <c r="F89" s="13"/>
      <c r="G89" s="13"/>
      <c r="H89" s="13"/>
      <c r="I89" s="13"/>
      <c r="J89" s="13"/>
      <c r="K89" s="13"/>
      <c r="L89" s="13"/>
    </row>
    <row r="90" spans="1:12" x14ac:dyDescent="0.25">
      <c r="A90" s="13"/>
      <c r="B90" s="13"/>
      <c r="C90" s="13"/>
      <c r="D90" s="13"/>
      <c r="E90" s="13"/>
      <c r="F90" s="13"/>
      <c r="G90" s="13"/>
      <c r="H90" s="13"/>
      <c r="I90" s="13"/>
      <c r="J90" s="13"/>
      <c r="K90" s="13"/>
      <c r="L90" s="13"/>
    </row>
    <row r="91" spans="1:12" x14ac:dyDescent="0.25">
      <c r="A91" s="13"/>
      <c r="B91" s="493" t="s">
        <v>361</v>
      </c>
      <c r="C91" s="493"/>
      <c r="D91" s="493"/>
      <c r="E91" s="493"/>
      <c r="F91" s="29"/>
      <c r="G91" s="29"/>
      <c r="H91" s="29"/>
      <c r="I91" s="13"/>
      <c r="J91" s="13"/>
      <c r="K91" s="13"/>
      <c r="L91" s="13"/>
    </row>
    <row r="92" spans="1:12" x14ac:dyDescent="0.25">
      <c r="A92" s="13"/>
      <c r="B92" s="492" t="s">
        <v>320</v>
      </c>
      <c r="C92" s="492"/>
      <c r="D92" s="492"/>
      <c r="E92" s="29"/>
      <c r="F92" s="492" t="s">
        <v>321</v>
      </c>
      <c r="G92" s="492"/>
      <c r="H92" s="492"/>
      <c r="I92" s="13"/>
      <c r="J92" s="13"/>
      <c r="K92" s="13"/>
      <c r="L92" s="13"/>
    </row>
    <row r="93" spans="1:12" x14ac:dyDescent="0.25">
      <c r="A93" s="13"/>
      <c r="B93" s="493" t="s">
        <v>320</v>
      </c>
      <c r="C93" s="493"/>
      <c r="D93" s="31">
        <v>1787</v>
      </c>
      <c r="E93" s="29"/>
      <c r="F93" s="493" t="s">
        <v>340</v>
      </c>
      <c r="G93" s="493"/>
      <c r="H93" s="39">
        <v>190000</v>
      </c>
      <c r="I93" s="13"/>
      <c r="J93" s="13"/>
      <c r="K93" s="13"/>
      <c r="L93" s="13"/>
    </row>
    <row r="94" spans="1:12" x14ac:dyDescent="0.25">
      <c r="A94" s="13"/>
      <c r="B94" s="493" t="s">
        <v>347</v>
      </c>
      <c r="C94" s="493"/>
      <c r="D94" s="33">
        <v>0.58333000000000002</v>
      </c>
      <c r="E94" s="29"/>
      <c r="F94" s="493" t="s">
        <v>325</v>
      </c>
      <c r="G94" s="493"/>
      <c r="H94" s="33">
        <v>3.2939999999999997E-2</v>
      </c>
      <c r="I94" s="13"/>
      <c r="J94" s="13"/>
      <c r="K94" s="13"/>
      <c r="L94" s="13"/>
    </row>
    <row r="95" spans="1:12" x14ac:dyDescent="0.25">
      <c r="A95" s="13"/>
      <c r="B95" s="493" t="s">
        <v>324</v>
      </c>
      <c r="C95" s="493"/>
      <c r="D95" s="285">
        <v>1.695E-2</v>
      </c>
      <c r="E95" s="29"/>
      <c r="F95" s="493" t="s">
        <v>327</v>
      </c>
      <c r="G95" s="493"/>
      <c r="H95" s="285">
        <v>1.695E-2</v>
      </c>
      <c r="I95" s="13"/>
      <c r="J95" s="13"/>
      <c r="K95" s="13"/>
      <c r="L95" s="13"/>
    </row>
    <row r="96" spans="1:12" x14ac:dyDescent="0.25">
      <c r="A96" s="13"/>
      <c r="B96" s="493" t="s">
        <v>326</v>
      </c>
      <c r="C96" s="493"/>
      <c r="D96" s="33">
        <v>0.72350000000000003</v>
      </c>
      <c r="E96" s="29"/>
      <c r="F96" s="493" t="s">
        <v>329</v>
      </c>
      <c r="G96" s="493"/>
      <c r="H96" s="33">
        <v>0.58333000000000002</v>
      </c>
      <c r="I96" s="13"/>
      <c r="J96" s="13"/>
      <c r="K96" s="13"/>
      <c r="L96" s="13"/>
    </row>
    <row r="97" spans="1:12" x14ac:dyDescent="0.25">
      <c r="A97" s="13"/>
      <c r="B97" s="493" t="s">
        <v>341</v>
      </c>
      <c r="C97" s="493"/>
      <c r="D97" s="29">
        <v>12.78</v>
      </c>
      <c r="E97" s="29"/>
      <c r="F97" s="493" t="s">
        <v>331</v>
      </c>
      <c r="G97" s="493"/>
      <c r="H97" s="35">
        <v>61.88</v>
      </c>
      <c r="I97" s="13"/>
      <c r="J97" s="13"/>
      <c r="K97" s="13"/>
      <c r="L97" s="13"/>
    </row>
    <row r="98" spans="1:12" x14ac:dyDescent="0.25">
      <c r="A98" s="13"/>
      <c r="B98" s="494" t="s">
        <v>330</v>
      </c>
      <c r="C98" s="494"/>
      <c r="D98" s="35">
        <v>13</v>
      </c>
      <c r="E98" s="29"/>
      <c r="F98" s="29"/>
      <c r="G98" s="29"/>
      <c r="H98" s="29"/>
      <c r="I98" s="13"/>
      <c r="J98" s="13"/>
      <c r="K98" s="13"/>
      <c r="L98" s="13"/>
    </row>
    <row r="99" spans="1:12" x14ac:dyDescent="0.25">
      <c r="A99" s="13"/>
      <c r="B99" s="29"/>
      <c r="C99" s="29"/>
      <c r="D99" s="29"/>
      <c r="E99" s="29"/>
      <c r="F99" s="29"/>
      <c r="G99" s="29"/>
      <c r="H99" s="29"/>
      <c r="I99" s="13"/>
      <c r="J99" s="13"/>
      <c r="K99" s="13"/>
      <c r="L99" s="13"/>
    </row>
    <row r="100" spans="1:12" ht="15.75" thickBot="1" x14ac:dyDescent="0.3">
      <c r="A100" s="13"/>
      <c r="B100" s="34" t="s">
        <v>342</v>
      </c>
      <c r="C100" s="36">
        <v>13</v>
      </c>
      <c r="D100" s="33" t="s">
        <v>333</v>
      </c>
      <c r="E100" s="42">
        <v>61.88</v>
      </c>
      <c r="F100" s="29" t="s">
        <v>334</v>
      </c>
      <c r="G100" s="37">
        <v>74.88</v>
      </c>
      <c r="H100" s="28" t="s">
        <v>362</v>
      </c>
      <c r="I100" s="13"/>
      <c r="J100" s="13"/>
      <c r="K100" s="13"/>
      <c r="L100" s="13"/>
    </row>
    <row r="101" spans="1:12" x14ac:dyDescent="0.25">
      <c r="A101" s="13"/>
      <c r="B101" s="34"/>
      <c r="C101" s="33"/>
      <c r="D101" s="33"/>
      <c r="E101" s="28"/>
      <c r="F101" s="28"/>
      <c r="G101" s="29"/>
      <c r="H101" s="29"/>
      <c r="I101" s="13"/>
      <c r="J101" s="13"/>
      <c r="K101" s="13"/>
      <c r="L101" s="13"/>
    </row>
    <row r="102" spans="1:12" x14ac:dyDescent="0.25">
      <c r="A102" s="13"/>
      <c r="B102" s="495" t="s">
        <v>336</v>
      </c>
      <c r="C102" s="495"/>
      <c r="D102" s="29"/>
      <c r="E102" s="34"/>
      <c r="F102" s="29"/>
      <c r="G102" s="29"/>
      <c r="H102" s="29"/>
      <c r="I102" s="13"/>
      <c r="J102" s="13"/>
      <c r="K102" s="13"/>
      <c r="L102" s="13"/>
    </row>
    <row r="103" spans="1:12" x14ac:dyDescent="0.25">
      <c r="A103" s="13"/>
      <c r="B103" s="492" t="s">
        <v>320</v>
      </c>
      <c r="C103" s="492"/>
      <c r="D103" s="492"/>
      <c r="E103" s="29"/>
      <c r="F103" s="492" t="s">
        <v>321</v>
      </c>
      <c r="G103" s="492"/>
      <c r="H103" s="492"/>
      <c r="I103" s="13"/>
      <c r="J103" s="13"/>
      <c r="K103" s="13"/>
      <c r="L103" s="13"/>
    </row>
    <row r="104" spans="1:12" x14ac:dyDescent="0.25">
      <c r="A104" s="13"/>
      <c r="B104" s="493" t="s">
        <v>320</v>
      </c>
      <c r="C104" s="493"/>
      <c r="D104" s="29">
        <v>1787</v>
      </c>
      <c r="E104" s="29"/>
      <c r="F104" s="493" t="s">
        <v>337</v>
      </c>
      <c r="G104" s="493"/>
      <c r="H104" s="286">
        <v>262599</v>
      </c>
      <c r="I104" s="13"/>
      <c r="J104" s="13"/>
      <c r="K104" s="13"/>
      <c r="L104" s="13"/>
    </row>
    <row r="105" spans="1:12" x14ac:dyDescent="0.25">
      <c r="A105" s="13"/>
      <c r="B105" s="493" t="s">
        <v>355</v>
      </c>
      <c r="C105" s="493"/>
      <c r="D105" s="33">
        <v>212</v>
      </c>
      <c r="E105" s="29"/>
      <c r="F105" s="493" t="s">
        <v>325</v>
      </c>
      <c r="G105" s="493"/>
      <c r="H105" s="33">
        <v>3.2939999999999997E-2</v>
      </c>
      <c r="I105" s="13"/>
      <c r="J105" s="13"/>
      <c r="K105" s="13"/>
      <c r="L105" s="13"/>
    </row>
    <row r="106" spans="1:12" x14ac:dyDescent="0.25">
      <c r="A106" s="13"/>
      <c r="B106" s="493" t="s">
        <v>357</v>
      </c>
      <c r="C106" s="493"/>
      <c r="D106" s="33">
        <v>365</v>
      </c>
      <c r="E106" s="29"/>
      <c r="F106" s="493" t="s">
        <v>327</v>
      </c>
      <c r="G106" s="493"/>
      <c r="H106" s="285">
        <v>1.695E-2</v>
      </c>
      <c r="I106" s="13"/>
      <c r="J106" s="13"/>
      <c r="K106" s="13"/>
      <c r="L106" s="13"/>
    </row>
    <row r="107" spans="1:12" x14ac:dyDescent="0.25">
      <c r="A107" s="13"/>
      <c r="B107" s="493" t="s">
        <v>324</v>
      </c>
      <c r="C107" s="493"/>
      <c r="D107" s="285">
        <v>1.695E-2</v>
      </c>
      <c r="E107" s="29"/>
      <c r="F107" s="493" t="s">
        <v>329</v>
      </c>
      <c r="G107" s="493"/>
      <c r="H107" s="33">
        <v>0.58333000000000002</v>
      </c>
      <c r="I107" s="13"/>
      <c r="J107" s="13"/>
      <c r="K107" s="13"/>
      <c r="L107" s="13"/>
    </row>
    <row r="108" spans="1:12" x14ac:dyDescent="0.25">
      <c r="A108" s="13"/>
      <c r="B108" s="493" t="s">
        <v>341</v>
      </c>
      <c r="C108" s="493"/>
      <c r="D108" s="29">
        <v>17.59</v>
      </c>
      <c r="E108" s="29"/>
      <c r="F108" s="493" t="s">
        <v>331</v>
      </c>
      <c r="G108" s="493"/>
      <c r="H108" s="35">
        <v>85.53</v>
      </c>
      <c r="I108" s="13"/>
      <c r="J108" s="13"/>
      <c r="K108" s="13"/>
      <c r="L108" s="13"/>
    </row>
    <row r="109" spans="1:12" x14ac:dyDescent="0.25">
      <c r="A109" s="13"/>
      <c r="B109" s="494" t="s">
        <v>330</v>
      </c>
      <c r="C109" s="494"/>
      <c r="D109" s="35">
        <v>18</v>
      </c>
      <c r="E109" s="29"/>
      <c r="F109" s="29"/>
      <c r="G109" s="29"/>
      <c r="H109" s="29"/>
      <c r="I109" s="14"/>
      <c r="J109" s="14"/>
      <c r="K109" s="14"/>
      <c r="L109" s="14"/>
    </row>
    <row r="110" spans="1:12" x14ac:dyDescent="0.25">
      <c r="A110" s="13"/>
      <c r="B110" s="29"/>
      <c r="C110" s="29"/>
      <c r="D110" s="29"/>
      <c r="E110" s="29"/>
      <c r="F110" s="29"/>
      <c r="G110" s="29"/>
      <c r="H110" s="29"/>
      <c r="I110" s="14"/>
      <c r="J110" s="14"/>
      <c r="K110" s="14"/>
      <c r="L110" s="14"/>
    </row>
    <row r="111" spans="1:12" ht="15.75" thickBot="1" x14ac:dyDescent="0.3">
      <c r="A111" s="13"/>
      <c r="B111" s="34" t="s">
        <v>342</v>
      </c>
      <c r="C111" s="36">
        <v>18</v>
      </c>
      <c r="D111" s="33" t="s">
        <v>333</v>
      </c>
      <c r="E111" s="40">
        <v>85.53</v>
      </c>
      <c r="F111" s="29" t="s">
        <v>334</v>
      </c>
      <c r="G111" s="41">
        <v>103.53</v>
      </c>
      <c r="H111" s="29"/>
      <c r="I111" s="14"/>
      <c r="J111" s="14"/>
      <c r="K111" s="14"/>
      <c r="L111" s="14"/>
    </row>
    <row r="112" spans="1:12" x14ac:dyDescent="0.25">
      <c r="A112" s="13"/>
      <c r="B112" s="13"/>
      <c r="C112" s="13"/>
      <c r="D112" s="33"/>
      <c r="E112" s="29"/>
      <c r="F112" s="29"/>
      <c r="G112" s="13"/>
      <c r="H112" s="13"/>
      <c r="I112" s="13"/>
      <c r="J112" s="13"/>
      <c r="K112" s="13"/>
      <c r="L112" s="13"/>
    </row>
    <row r="113" spans="1:12" x14ac:dyDescent="0.25">
      <c r="A113" s="13"/>
      <c r="B113" s="13"/>
      <c r="C113" s="13"/>
      <c r="D113" s="13"/>
      <c r="E113" s="13"/>
      <c r="F113" s="13"/>
      <c r="G113" s="13"/>
      <c r="H113" s="13"/>
      <c r="I113" s="13"/>
      <c r="J113" s="13"/>
      <c r="K113" s="13"/>
      <c r="L113" s="13"/>
    </row>
    <row r="114" spans="1:12" x14ac:dyDescent="0.25">
      <c r="A114" s="13" t="s">
        <v>20</v>
      </c>
      <c r="B114" s="13" t="s">
        <v>21</v>
      </c>
      <c r="C114" s="13"/>
      <c r="D114" s="13"/>
      <c r="E114" s="13"/>
      <c r="F114" s="13"/>
      <c r="G114" s="13"/>
      <c r="H114" s="13"/>
      <c r="I114" s="13"/>
      <c r="J114" s="13"/>
      <c r="K114" s="13"/>
      <c r="L114" s="13"/>
    </row>
    <row r="115" spans="1:12" x14ac:dyDescent="0.25">
      <c r="A115" s="13"/>
      <c r="B115" s="13"/>
      <c r="C115" s="13"/>
      <c r="D115" s="13"/>
      <c r="E115" s="13"/>
      <c r="F115" s="13"/>
      <c r="G115" s="13"/>
      <c r="H115" s="13"/>
      <c r="I115" s="13"/>
      <c r="J115" s="13"/>
      <c r="K115" s="13"/>
      <c r="L115" s="13"/>
    </row>
    <row r="116" spans="1:12" x14ac:dyDescent="0.25">
      <c r="A116" s="13"/>
      <c r="B116" s="494" t="s">
        <v>363</v>
      </c>
      <c r="C116" s="494"/>
      <c r="D116" s="494"/>
      <c r="E116" s="494"/>
      <c r="F116" s="494"/>
      <c r="G116" s="29"/>
      <c r="H116" s="29"/>
      <c r="I116" s="13"/>
      <c r="J116" s="13"/>
      <c r="K116" s="13"/>
      <c r="L116" s="13"/>
    </row>
    <row r="117" spans="1:12" x14ac:dyDescent="0.25">
      <c r="A117" s="13"/>
      <c r="B117" s="493" t="s">
        <v>364</v>
      </c>
      <c r="C117" s="493"/>
      <c r="D117" s="493"/>
      <c r="E117" s="493"/>
      <c r="F117" s="493"/>
      <c r="G117" s="493"/>
      <c r="H117" s="493"/>
      <c r="I117" s="13"/>
      <c r="J117" s="13"/>
      <c r="K117" s="13"/>
      <c r="L117" s="13"/>
    </row>
    <row r="118" spans="1:12" x14ac:dyDescent="0.25">
      <c r="A118" s="13"/>
      <c r="B118" s="492" t="s">
        <v>365</v>
      </c>
      <c r="C118" s="492"/>
      <c r="D118" s="492"/>
      <c r="E118" s="29"/>
      <c r="F118" s="492" t="s">
        <v>366</v>
      </c>
      <c r="G118" s="492"/>
      <c r="H118" s="492"/>
      <c r="I118" s="13"/>
      <c r="J118" s="13"/>
      <c r="K118" s="13"/>
      <c r="L118" s="13"/>
    </row>
    <row r="119" spans="1:12" x14ac:dyDescent="0.25">
      <c r="A119" s="13"/>
      <c r="B119" s="493" t="s">
        <v>320</v>
      </c>
      <c r="C119" s="493"/>
      <c r="D119" s="31">
        <v>1787</v>
      </c>
      <c r="E119" s="29"/>
      <c r="F119" s="493" t="s">
        <v>320</v>
      </c>
      <c r="G119" s="493"/>
      <c r="H119" s="31">
        <v>2003</v>
      </c>
      <c r="I119" s="13"/>
      <c r="J119" s="13"/>
      <c r="K119" s="13"/>
      <c r="L119" s="13"/>
    </row>
    <row r="120" spans="1:12" x14ac:dyDescent="0.25">
      <c r="A120" s="13"/>
      <c r="B120" s="493" t="s">
        <v>347</v>
      </c>
      <c r="C120" s="493"/>
      <c r="D120" s="33">
        <v>0.5</v>
      </c>
      <c r="E120" s="29"/>
      <c r="F120" s="493" t="s">
        <v>367</v>
      </c>
      <c r="G120" s="493"/>
      <c r="H120" s="33">
        <v>0.5</v>
      </c>
      <c r="I120" s="13"/>
      <c r="J120" s="13"/>
      <c r="K120" s="13"/>
      <c r="L120" s="13"/>
    </row>
    <row r="121" spans="1:12" x14ac:dyDescent="0.25">
      <c r="A121" s="13"/>
      <c r="B121" s="493" t="s">
        <v>324</v>
      </c>
      <c r="C121" s="493"/>
      <c r="D121" s="285">
        <v>1.695E-2</v>
      </c>
      <c r="E121" s="29"/>
      <c r="F121" s="493" t="s">
        <v>368</v>
      </c>
      <c r="G121" s="493"/>
      <c r="H121" s="285">
        <v>1.695E-2</v>
      </c>
      <c r="I121" s="13"/>
      <c r="J121" s="13"/>
      <c r="K121" s="13"/>
      <c r="L121" s="13"/>
    </row>
    <row r="122" spans="1:12" x14ac:dyDescent="0.25">
      <c r="A122" s="13"/>
      <c r="B122" s="493" t="s">
        <v>326</v>
      </c>
      <c r="C122" s="493"/>
      <c r="D122" s="33">
        <v>0.72350000000000003</v>
      </c>
      <c r="E122" s="29"/>
      <c r="F122" s="493" t="s">
        <v>369</v>
      </c>
      <c r="G122" s="493"/>
      <c r="H122" s="33">
        <v>0.72350000000000003</v>
      </c>
      <c r="I122" s="13"/>
      <c r="J122" s="13"/>
      <c r="K122" s="13"/>
      <c r="L122" s="13"/>
    </row>
    <row r="123" spans="1:12" x14ac:dyDescent="0.25">
      <c r="A123" s="13"/>
      <c r="B123" s="493" t="s">
        <v>341</v>
      </c>
      <c r="C123" s="493"/>
      <c r="D123" s="29">
        <v>10.95</v>
      </c>
      <c r="E123" s="29"/>
      <c r="F123" s="493" t="s">
        <v>341</v>
      </c>
      <c r="G123" s="493"/>
      <c r="H123" s="29">
        <v>12.28</v>
      </c>
      <c r="I123" s="13"/>
      <c r="J123" s="13"/>
      <c r="K123" s="13"/>
      <c r="L123" s="13"/>
    </row>
    <row r="124" spans="1:12" x14ac:dyDescent="0.25">
      <c r="A124" s="13"/>
      <c r="B124" s="494" t="s">
        <v>330</v>
      </c>
      <c r="C124" s="494"/>
      <c r="D124" s="35">
        <v>11</v>
      </c>
      <c r="E124" s="29"/>
      <c r="F124" s="494" t="s">
        <v>330</v>
      </c>
      <c r="G124" s="494"/>
      <c r="H124" s="35">
        <v>12</v>
      </c>
      <c r="I124" s="13"/>
      <c r="J124" s="13"/>
      <c r="K124" s="13"/>
      <c r="L124" s="13"/>
    </row>
    <row r="125" spans="1:12" x14ac:dyDescent="0.25">
      <c r="A125" s="13"/>
      <c r="B125" s="29"/>
      <c r="C125" s="29"/>
      <c r="D125" s="29"/>
      <c r="E125" s="29"/>
      <c r="F125" s="29"/>
      <c r="G125" s="29"/>
      <c r="H125" s="29"/>
      <c r="I125" s="13"/>
      <c r="J125" s="13"/>
      <c r="K125" s="13"/>
      <c r="L125" s="13"/>
    </row>
    <row r="126" spans="1:12" ht="15.75" thickBot="1" x14ac:dyDescent="0.3">
      <c r="A126" s="13"/>
      <c r="B126" s="34" t="s">
        <v>342</v>
      </c>
      <c r="C126" s="36">
        <v>11</v>
      </c>
      <c r="D126" s="33" t="s">
        <v>354</v>
      </c>
      <c r="E126" s="42">
        <v>12</v>
      </c>
      <c r="F126" s="29" t="s">
        <v>334</v>
      </c>
      <c r="G126" s="37">
        <v>1</v>
      </c>
      <c r="H126" s="28" t="s">
        <v>362</v>
      </c>
      <c r="I126" s="13"/>
      <c r="J126" s="13"/>
      <c r="K126" s="13"/>
      <c r="L126" s="13"/>
    </row>
    <row r="127" spans="1:12" x14ac:dyDescent="0.25">
      <c r="A127" s="13"/>
      <c r="B127" s="34"/>
      <c r="C127" s="29"/>
      <c r="D127" s="29"/>
      <c r="E127" s="29"/>
      <c r="F127" s="29"/>
      <c r="G127" s="29"/>
      <c r="H127" s="29"/>
      <c r="I127" s="13"/>
      <c r="J127" s="13"/>
      <c r="K127" s="13"/>
      <c r="L127" s="13"/>
    </row>
    <row r="128" spans="1:12" x14ac:dyDescent="0.25">
      <c r="A128" s="13"/>
      <c r="B128" s="495" t="s">
        <v>336</v>
      </c>
      <c r="C128" s="495"/>
      <c r="D128" s="29"/>
      <c r="E128" s="34"/>
      <c r="F128" s="29"/>
      <c r="G128" s="29"/>
      <c r="H128" s="29"/>
      <c r="I128" s="13"/>
      <c r="J128" s="13"/>
      <c r="K128" s="13"/>
      <c r="L128" s="13"/>
    </row>
    <row r="129" spans="1:12" x14ac:dyDescent="0.25">
      <c r="A129" s="13"/>
      <c r="B129" s="492" t="s">
        <v>365</v>
      </c>
      <c r="C129" s="492"/>
      <c r="D129" s="492"/>
      <c r="E129" s="29"/>
      <c r="F129" s="492" t="s">
        <v>366</v>
      </c>
      <c r="G129" s="492"/>
      <c r="H129" s="492"/>
      <c r="I129" s="13"/>
      <c r="J129" s="13"/>
      <c r="K129" s="13"/>
      <c r="L129" s="13"/>
    </row>
    <row r="130" spans="1:12" x14ac:dyDescent="0.25">
      <c r="A130" s="13"/>
      <c r="B130" s="493" t="s">
        <v>320</v>
      </c>
      <c r="C130" s="493"/>
      <c r="D130" s="31">
        <v>1787</v>
      </c>
      <c r="E130" s="29"/>
      <c r="F130" s="493" t="s">
        <v>320</v>
      </c>
      <c r="G130" s="493"/>
      <c r="H130" s="31">
        <v>2003</v>
      </c>
      <c r="I130" s="13"/>
      <c r="J130" s="13"/>
      <c r="K130" s="13"/>
      <c r="L130" s="13"/>
    </row>
    <row r="131" spans="1:12" x14ac:dyDescent="0.25">
      <c r="A131" s="13"/>
      <c r="B131" s="493" t="s">
        <v>355</v>
      </c>
      <c r="C131" s="493"/>
      <c r="D131" s="33">
        <v>181</v>
      </c>
      <c r="E131" s="29"/>
      <c r="F131" s="493" t="s">
        <v>356</v>
      </c>
      <c r="G131" s="493"/>
      <c r="H131" s="33">
        <v>181</v>
      </c>
      <c r="I131" s="13"/>
      <c r="J131" s="13"/>
      <c r="K131" s="13"/>
      <c r="L131" s="13"/>
    </row>
    <row r="132" spans="1:12" x14ac:dyDescent="0.25">
      <c r="A132" s="13"/>
      <c r="B132" s="493" t="s">
        <v>370</v>
      </c>
      <c r="C132" s="493"/>
      <c r="D132" s="33">
        <v>365</v>
      </c>
      <c r="E132" s="29"/>
      <c r="F132" s="493" t="s">
        <v>358</v>
      </c>
      <c r="G132" s="493"/>
      <c r="H132" s="33">
        <v>365</v>
      </c>
      <c r="I132" s="13"/>
      <c r="J132" s="13"/>
      <c r="K132" s="13"/>
      <c r="L132" s="13"/>
    </row>
    <row r="133" spans="1:12" x14ac:dyDescent="0.25">
      <c r="A133" s="13"/>
      <c r="B133" s="493" t="s">
        <v>338</v>
      </c>
      <c r="C133" s="493"/>
      <c r="D133" s="285">
        <v>1.695E-2</v>
      </c>
      <c r="E133" s="29"/>
      <c r="F133" s="493" t="s">
        <v>359</v>
      </c>
      <c r="G133" s="493"/>
      <c r="H133" s="285">
        <v>1.695E-2</v>
      </c>
      <c r="I133" s="13"/>
      <c r="J133" s="13"/>
      <c r="K133" s="13"/>
      <c r="L133" s="13"/>
    </row>
    <row r="134" spans="1:12" x14ac:dyDescent="0.25">
      <c r="A134" s="13"/>
      <c r="B134" s="493" t="s">
        <v>341</v>
      </c>
      <c r="C134" s="493"/>
      <c r="D134" s="29">
        <v>15.02</v>
      </c>
      <c r="E134" s="29"/>
      <c r="F134" s="493" t="s">
        <v>341</v>
      </c>
      <c r="G134" s="493"/>
      <c r="H134" s="29">
        <v>16.84</v>
      </c>
      <c r="I134" s="13"/>
      <c r="J134" s="13"/>
      <c r="K134" s="13"/>
      <c r="L134" s="13"/>
    </row>
    <row r="135" spans="1:12" x14ac:dyDescent="0.25">
      <c r="A135" s="13"/>
      <c r="B135" s="494" t="s">
        <v>330</v>
      </c>
      <c r="C135" s="494"/>
      <c r="D135" s="35">
        <v>15</v>
      </c>
      <c r="E135" s="29"/>
      <c r="F135" s="494" t="s">
        <v>330</v>
      </c>
      <c r="G135" s="494"/>
      <c r="H135" s="35">
        <v>17</v>
      </c>
      <c r="I135" s="13"/>
      <c r="J135" s="13"/>
      <c r="K135" s="13"/>
      <c r="L135" s="13"/>
    </row>
    <row r="136" spans="1:12" x14ac:dyDescent="0.25">
      <c r="A136" s="13"/>
      <c r="B136" s="34"/>
      <c r="C136" s="33"/>
      <c r="D136" s="29"/>
      <c r="E136" s="34"/>
      <c r="F136" s="29"/>
      <c r="G136" s="29"/>
      <c r="H136" s="29"/>
      <c r="I136" s="13"/>
      <c r="J136" s="13"/>
      <c r="K136" s="13"/>
      <c r="L136" s="13"/>
    </row>
    <row r="137" spans="1:12" ht="15.75" thickBot="1" x14ac:dyDescent="0.3">
      <c r="A137" s="13"/>
      <c r="B137" s="34" t="s">
        <v>371</v>
      </c>
      <c r="C137" s="36">
        <v>15</v>
      </c>
      <c r="D137" s="33" t="s">
        <v>354</v>
      </c>
      <c r="E137" s="35">
        <v>17</v>
      </c>
      <c r="F137" s="29" t="s">
        <v>334</v>
      </c>
      <c r="G137" s="41">
        <v>2</v>
      </c>
      <c r="H137" s="29"/>
      <c r="I137" s="13"/>
      <c r="J137" s="13"/>
      <c r="K137" s="13"/>
      <c r="L137" s="13"/>
    </row>
    <row r="138" spans="1:12" x14ac:dyDescent="0.25">
      <c r="A138" s="13"/>
      <c r="B138" s="13"/>
      <c r="C138" s="33"/>
      <c r="D138" s="33"/>
      <c r="E138" s="13"/>
      <c r="F138" s="13"/>
      <c r="G138" s="13"/>
      <c r="H138" s="13"/>
      <c r="I138" s="13"/>
      <c r="J138" s="13"/>
      <c r="K138" s="13"/>
      <c r="L138" s="13"/>
    </row>
    <row r="139" spans="1:12" x14ac:dyDescent="0.25">
      <c r="A139" s="13"/>
      <c r="B139" s="14"/>
      <c r="C139" s="14"/>
      <c r="D139" s="14"/>
      <c r="E139" s="14"/>
      <c r="F139" s="14"/>
      <c r="G139" s="14"/>
      <c r="H139" s="14"/>
      <c r="I139" s="14"/>
      <c r="J139" s="14"/>
      <c r="K139" s="14"/>
      <c r="L139" s="14"/>
    </row>
    <row r="140" spans="1:12" x14ac:dyDescent="0.25">
      <c r="A140" s="13" t="s">
        <v>22</v>
      </c>
      <c r="B140" s="13" t="s">
        <v>23</v>
      </c>
      <c r="C140" s="13"/>
      <c r="D140" s="13"/>
      <c r="E140" s="13"/>
      <c r="F140" s="13"/>
      <c r="G140" s="13"/>
      <c r="H140" s="13"/>
      <c r="I140" s="13"/>
      <c r="J140" s="13"/>
      <c r="K140" s="13"/>
      <c r="L140" s="13"/>
    </row>
    <row r="141" spans="1:12" x14ac:dyDescent="0.25">
      <c r="A141" s="13"/>
      <c r="B141" s="16" t="s">
        <v>372</v>
      </c>
      <c r="C141" s="16"/>
      <c r="D141" s="16"/>
      <c r="E141" s="16"/>
      <c r="F141" s="16"/>
      <c r="G141" s="16"/>
      <c r="H141" s="16"/>
      <c r="I141" s="16"/>
      <c r="J141" s="16"/>
      <c r="K141" s="16"/>
      <c r="L141" s="14"/>
    </row>
    <row r="142" spans="1:12" x14ac:dyDescent="0.25">
      <c r="A142" s="13"/>
      <c r="B142" s="16" t="s">
        <v>373</v>
      </c>
      <c r="C142" s="16"/>
      <c r="D142" s="16"/>
      <c r="E142" s="16"/>
      <c r="F142" s="16"/>
      <c r="G142" s="16"/>
      <c r="H142" s="16"/>
      <c r="I142" s="16"/>
      <c r="J142" s="16"/>
      <c r="K142" s="16"/>
      <c r="L142" s="14"/>
    </row>
    <row r="143" spans="1:12" x14ac:dyDescent="0.25">
      <c r="A143" s="13"/>
      <c r="B143" s="16" t="s">
        <v>374</v>
      </c>
      <c r="C143" s="16"/>
      <c r="D143" s="16"/>
      <c r="E143" s="16"/>
      <c r="F143" s="16"/>
      <c r="G143" s="16"/>
      <c r="H143" s="16"/>
      <c r="I143" s="16"/>
      <c r="J143" s="16"/>
      <c r="K143" s="16"/>
      <c r="L143" s="14"/>
    </row>
    <row r="144" spans="1:12" x14ac:dyDescent="0.25">
      <c r="A144" s="13"/>
      <c r="B144" s="13"/>
      <c r="C144" s="13"/>
      <c r="D144" s="13"/>
      <c r="E144" s="13"/>
      <c r="F144" s="13"/>
      <c r="G144" s="13"/>
      <c r="H144" s="13"/>
      <c r="I144" s="13"/>
      <c r="J144" s="13"/>
      <c r="K144" s="13"/>
      <c r="L144" s="13"/>
    </row>
    <row r="145" spans="1:12" x14ac:dyDescent="0.25">
      <c r="A145" s="13"/>
      <c r="B145" s="493" t="s">
        <v>375</v>
      </c>
      <c r="C145" s="493"/>
      <c r="D145" s="493"/>
      <c r="E145" s="493"/>
      <c r="F145" s="493"/>
      <c r="G145" s="493"/>
      <c r="H145" s="493"/>
      <c r="I145" s="493"/>
      <c r="J145" s="493"/>
      <c r="K145" s="493"/>
      <c r="L145" s="13"/>
    </row>
    <row r="146" spans="1:12" x14ac:dyDescent="0.25">
      <c r="A146" s="13"/>
      <c r="B146" s="492" t="s">
        <v>320</v>
      </c>
      <c r="C146" s="492"/>
      <c r="D146" s="492"/>
      <c r="E146" s="29"/>
      <c r="F146" s="492" t="s">
        <v>321</v>
      </c>
      <c r="G146" s="492"/>
      <c r="H146" s="492"/>
      <c r="I146" s="29"/>
      <c r="J146" s="29"/>
      <c r="K146" s="29"/>
      <c r="L146" s="13"/>
    </row>
    <row r="147" spans="1:12" x14ac:dyDescent="0.25">
      <c r="A147" s="13"/>
      <c r="B147" s="493" t="s">
        <v>320</v>
      </c>
      <c r="C147" s="493"/>
      <c r="D147" s="31">
        <v>280</v>
      </c>
      <c r="E147" s="29"/>
      <c r="F147" s="493" t="s">
        <v>340</v>
      </c>
      <c r="G147" s="493"/>
      <c r="H147" s="39">
        <v>359000</v>
      </c>
      <c r="I147" s="29"/>
      <c r="J147" s="29"/>
      <c r="K147" s="29"/>
      <c r="L147" s="13"/>
    </row>
    <row r="148" spans="1:12" x14ac:dyDescent="0.25">
      <c r="A148" s="13"/>
      <c r="B148" s="493" t="s">
        <v>338</v>
      </c>
      <c r="C148" s="493"/>
      <c r="D148" s="285">
        <v>1.695E-2</v>
      </c>
      <c r="E148" s="29"/>
      <c r="F148" s="493" t="s">
        <v>325</v>
      </c>
      <c r="G148" s="493"/>
      <c r="H148" s="33">
        <v>2.0590000000000001E-2</v>
      </c>
      <c r="I148" s="29"/>
      <c r="J148" s="29"/>
      <c r="K148" s="29"/>
      <c r="L148" s="13"/>
    </row>
    <row r="149" spans="1:12" x14ac:dyDescent="0.25">
      <c r="A149" s="13"/>
      <c r="B149" s="493" t="s">
        <v>376</v>
      </c>
      <c r="C149" s="493"/>
      <c r="D149" s="33">
        <v>0.72350000000000003</v>
      </c>
      <c r="E149" s="29"/>
      <c r="F149" s="493" t="s">
        <v>327</v>
      </c>
      <c r="G149" s="493"/>
      <c r="H149" s="285">
        <v>1.695E-2</v>
      </c>
      <c r="I149" s="29"/>
      <c r="J149" s="29"/>
      <c r="K149" s="29"/>
      <c r="L149" s="13"/>
    </row>
    <row r="150" spans="1:12" x14ac:dyDescent="0.25">
      <c r="A150" s="13"/>
      <c r="B150" s="493" t="s">
        <v>341</v>
      </c>
      <c r="C150" s="493"/>
      <c r="D150" s="29">
        <v>3.43</v>
      </c>
      <c r="E150" s="29"/>
      <c r="F150" s="493" t="s">
        <v>329</v>
      </c>
      <c r="G150" s="493"/>
      <c r="H150" s="33">
        <v>1</v>
      </c>
      <c r="I150" s="29"/>
      <c r="J150" s="29"/>
      <c r="K150" s="29"/>
      <c r="L150" s="13"/>
    </row>
    <row r="151" spans="1:12" x14ac:dyDescent="0.25">
      <c r="A151" s="13"/>
      <c r="B151" s="494" t="s">
        <v>330</v>
      </c>
      <c r="C151" s="494"/>
      <c r="D151" s="35">
        <v>3</v>
      </c>
      <c r="E151" s="29"/>
      <c r="F151" s="493" t="s">
        <v>331</v>
      </c>
      <c r="G151" s="493"/>
      <c r="H151" s="35">
        <v>125.29</v>
      </c>
      <c r="I151" s="29"/>
      <c r="J151" s="14"/>
      <c r="K151" s="14"/>
      <c r="L151" s="14"/>
    </row>
    <row r="152" spans="1:12" x14ac:dyDescent="0.25">
      <c r="A152" s="13"/>
      <c r="B152" s="29"/>
      <c r="C152" s="29"/>
      <c r="D152" s="29"/>
      <c r="E152" s="29"/>
      <c r="F152" s="29"/>
      <c r="G152" s="29"/>
      <c r="H152" s="29"/>
      <c r="I152" s="29"/>
      <c r="J152" s="14"/>
      <c r="K152" s="14"/>
      <c r="L152" s="14"/>
    </row>
    <row r="153" spans="1:12" ht="15.75" thickBot="1" x14ac:dyDescent="0.3">
      <c r="A153" s="13"/>
      <c r="B153" s="34" t="s">
        <v>342</v>
      </c>
      <c r="C153" s="36">
        <v>3</v>
      </c>
      <c r="D153" s="33" t="s">
        <v>333</v>
      </c>
      <c r="E153" s="35">
        <v>125.29</v>
      </c>
      <c r="F153" s="29" t="s">
        <v>334</v>
      </c>
      <c r="G153" s="37">
        <v>128.29</v>
      </c>
      <c r="H153" s="28" t="s">
        <v>362</v>
      </c>
      <c r="I153" s="29"/>
      <c r="J153" s="29"/>
      <c r="K153" s="29"/>
      <c r="L153" s="14"/>
    </row>
    <row r="154" spans="1:12" x14ac:dyDescent="0.25">
      <c r="A154" s="13"/>
      <c r="B154" s="34"/>
      <c r="C154" s="33"/>
      <c r="D154" s="33"/>
      <c r="E154" s="28"/>
      <c r="F154" s="28"/>
      <c r="G154" s="29"/>
      <c r="H154" s="29"/>
      <c r="I154" s="29"/>
      <c r="J154" s="29"/>
      <c r="K154" s="29"/>
      <c r="L154" s="13"/>
    </row>
    <row r="155" spans="1:12" x14ac:dyDescent="0.25">
      <c r="A155" s="13"/>
      <c r="B155" s="38" t="s">
        <v>336</v>
      </c>
      <c r="C155" s="33"/>
      <c r="D155" s="29"/>
      <c r="E155" s="34"/>
      <c r="F155" s="29"/>
      <c r="G155" s="29"/>
      <c r="H155" s="29"/>
      <c r="I155" s="29"/>
      <c r="J155" s="29"/>
      <c r="K155" s="29"/>
      <c r="L155" s="13"/>
    </row>
    <row r="156" spans="1:12" x14ac:dyDescent="0.25">
      <c r="A156" s="13"/>
      <c r="B156" s="492" t="s">
        <v>320</v>
      </c>
      <c r="C156" s="492"/>
      <c r="D156" s="492"/>
      <c r="E156" s="29"/>
      <c r="F156" s="492" t="s">
        <v>321</v>
      </c>
      <c r="G156" s="492"/>
      <c r="H156" s="492"/>
      <c r="I156" s="29"/>
      <c r="J156" s="29"/>
      <c r="K156" s="29"/>
      <c r="L156" s="13"/>
    </row>
    <row r="157" spans="1:12" x14ac:dyDescent="0.25">
      <c r="A157" s="13"/>
      <c r="B157" s="493" t="s">
        <v>320</v>
      </c>
      <c r="C157" s="493"/>
      <c r="D157" s="31">
        <v>280</v>
      </c>
      <c r="E157" s="29"/>
      <c r="F157" s="493" t="s">
        <v>337</v>
      </c>
      <c r="G157" s="493"/>
      <c r="H157" s="39">
        <v>496174</v>
      </c>
      <c r="I157" s="29"/>
      <c r="J157" s="29"/>
      <c r="K157" s="29"/>
      <c r="L157" s="13"/>
    </row>
    <row r="158" spans="1:12" x14ac:dyDescent="0.25">
      <c r="A158" s="13"/>
      <c r="B158" s="493" t="s">
        <v>338</v>
      </c>
      <c r="C158" s="493"/>
      <c r="D158" s="285">
        <v>1.695E-2</v>
      </c>
      <c r="E158" s="29"/>
      <c r="F158" s="493" t="s">
        <v>325</v>
      </c>
      <c r="G158" s="493"/>
      <c r="H158" s="33">
        <v>2.0590000000000001E-2</v>
      </c>
      <c r="I158" s="29"/>
      <c r="J158" s="29"/>
      <c r="K158" s="29"/>
      <c r="L158" s="13"/>
    </row>
    <row r="159" spans="1:12" x14ac:dyDescent="0.25">
      <c r="A159" s="13"/>
      <c r="B159" s="493" t="s">
        <v>341</v>
      </c>
      <c r="C159" s="493"/>
      <c r="D159" s="29">
        <v>4.75</v>
      </c>
      <c r="E159" s="29"/>
      <c r="F159" s="493" t="s">
        <v>327</v>
      </c>
      <c r="G159" s="493"/>
      <c r="H159" s="285">
        <v>1.695E-2</v>
      </c>
      <c r="I159" s="29"/>
      <c r="J159" s="29"/>
      <c r="K159" s="29"/>
      <c r="L159" s="13"/>
    </row>
    <row r="160" spans="1:12" x14ac:dyDescent="0.25">
      <c r="A160" s="13"/>
      <c r="B160" s="494" t="s">
        <v>330</v>
      </c>
      <c r="C160" s="494"/>
      <c r="D160" s="35">
        <v>5</v>
      </c>
      <c r="E160" s="29"/>
      <c r="F160" s="493" t="s">
        <v>329</v>
      </c>
      <c r="G160" s="493"/>
      <c r="H160" s="33">
        <v>1</v>
      </c>
      <c r="I160" s="29"/>
      <c r="J160" s="29"/>
      <c r="K160" s="29"/>
      <c r="L160" s="13"/>
    </row>
    <row r="161" spans="1:12" x14ac:dyDescent="0.25">
      <c r="A161" s="13"/>
      <c r="B161" s="29"/>
      <c r="C161" s="29"/>
      <c r="D161" s="29"/>
      <c r="E161" s="29"/>
      <c r="F161" s="493" t="s">
        <v>331</v>
      </c>
      <c r="G161" s="493"/>
      <c r="H161" s="35">
        <v>173.16</v>
      </c>
      <c r="I161" s="29"/>
      <c r="J161" s="29"/>
      <c r="K161" s="29"/>
      <c r="L161" s="13"/>
    </row>
    <row r="162" spans="1:12" x14ac:dyDescent="0.25">
      <c r="A162" s="13"/>
      <c r="B162" s="29"/>
      <c r="C162" s="29"/>
      <c r="D162" s="29"/>
      <c r="E162" s="29"/>
      <c r="F162" s="28"/>
      <c r="G162" s="28"/>
      <c r="H162" s="34"/>
      <c r="I162" s="29"/>
      <c r="J162" s="29"/>
      <c r="K162" s="29"/>
      <c r="L162" s="13"/>
    </row>
    <row r="163" spans="1:12" ht="15.75" thickBot="1" x14ac:dyDescent="0.3">
      <c r="A163" s="13"/>
      <c r="B163" s="34" t="s">
        <v>342</v>
      </c>
      <c r="C163" s="40">
        <v>5</v>
      </c>
      <c r="D163" s="33" t="s">
        <v>333</v>
      </c>
      <c r="E163" s="40">
        <v>173.16</v>
      </c>
      <c r="F163" s="29" t="s">
        <v>334</v>
      </c>
      <c r="G163" s="41">
        <v>178.16</v>
      </c>
      <c r="H163" s="29"/>
      <c r="I163" s="29"/>
      <c r="J163" s="29"/>
      <c r="K163" s="29"/>
      <c r="L163" s="13"/>
    </row>
  </sheetData>
  <protectedRanges>
    <protectedRange sqref="H156" name="TEST 6 CDN PURCHASE PRICE"/>
    <protectedRange sqref="D156" name="TEST 6 CDN REG FEE"/>
    <protectedRange sqref="H146" name="TEST 6 US PURCHASE PRICE"/>
    <protectedRange sqref="D146" name="TEST 6 REG FEE"/>
    <protectedRange sqref="H129" name="TEST 5 WC NEW"/>
    <protectedRange sqref="D129" name="TEST 5 CDN WC OLD"/>
    <protectedRange sqref="H118" name="TEST 5 WC  NEW"/>
    <protectedRange sqref="D118" name="TEST 5 REG FEE WC OLD"/>
    <protectedRange sqref="H103" name="TEST 4 CDN PURCHASE PRICE"/>
    <protectedRange sqref="D103" name="TEST 4 CDN REG FEE"/>
    <protectedRange sqref="H92" name="TEST 4 US PURCHASE PRICE"/>
    <protectedRange sqref="D92" name="TEST 4 REG FEE"/>
    <protectedRange sqref="L78" name="TEST 3 CDN PURCHASE PRICE"/>
    <protectedRange sqref="H78" name="TEST 3 CDN REG FEE AV"/>
    <protectedRange sqref="D78" name="TEST 3 CDN REG FEE"/>
    <protectedRange sqref="L67" name="TEST 3 US PURCHASE PRICE"/>
    <protectedRange sqref="H67" name="TEST 3 REG FEE AV"/>
    <protectedRange sqref="D67" name="TEST 3 REG FEE DV"/>
    <protectedRange sqref="H30" name="TEST 1 CDN PURCHASE PRICE"/>
    <protectedRange sqref="D30" name="TEST 1 CDN REG FEE"/>
    <protectedRange sqref="H20" name="TEST 1 US PURCHASE PRICE"/>
    <protectedRange sqref="D20" name="TEST 1 REG FEE"/>
    <protectedRange sqref="G5:G8" name="RATES"/>
    <protectedRange sqref="D43" name="TEST 2 REG FEE"/>
    <protectedRange sqref="H43" name="TEST 2 US PURCHASE PRICE"/>
    <protectedRange sqref="D53" name="TEST 2 CDN REG REG FEE"/>
    <protectedRange sqref="H53" name="TEST 2 CDN PURCHASE PRICE"/>
  </protectedRanges>
  <mergeCells count="175">
    <mergeCell ref="F161:G161"/>
    <mergeCell ref="B158:C158"/>
    <mergeCell ref="F158:G158"/>
    <mergeCell ref="B159:C159"/>
    <mergeCell ref="F159:G159"/>
    <mergeCell ref="B160:C160"/>
    <mergeCell ref="F160:G160"/>
    <mergeCell ref="B151:C151"/>
    <mergeCell ref="F151:G151"/>
    <mergeCell ref="B156:D156"/>
    <mergeCell ref="F156:H156"/>
    <mergeCell ref="B157:C157"/>
    <mergeCell ref="F157:G157"/>
    <mergeCell ref="B148:C148"/>
    <mergeCell ref="F148:G148"/>
    <mergeCell ref="B149:C149"/>
    <mergeCell ref="F149:G149"/>
    <mergeCell ref="B150:C150"/>
    <mergeCell ref="F150:G150"/>
    <mergeCell ref="B145:K145"/>
    <mergeCell ref="B146:D146"/>
    <mergeCell ref="F146:H146"/>
    <mergeCell ref="B147:C147"/>
    <mergeCell ref="F147:G147"/>
    <mergeCell ref="B133:C133"/>
    <mergeCell ref="F133:G133"/>
    <mergeCell ref="B134:C134"/>
    <mergeCell ref="F134:G134"/>
    <mergeCell ref="B135:C135"/>
    <mergeCell ref="F135:G135"/>
    <mergeCell ref="B130:C130"/>
    <mergeCell ref="F130:G130"/>
    <mergeCell ref="B131:C131"/>
    <mergeCell ref="F131:G131"/>
    <mergeCell ref="B132:C132"/>
    <mergeCell ref="F132:G132"/>
    <mergeCell ref="B124:C124"/>
    <mergeCell ref="F124:G124"/>
    <mergeCell ref="B128:C128"/>
    <mergeCell ref="B129:D129"/>
    <mergeCell ref="F129:H129"/>
    <mergeCell ref="B121:C121"/>
    <mergeCell ref="F121:G121"/>
    <mergeCell ref="B122:C122"/>
    <mergeCell ref="F122:G122"/>
    <mergeCell ref="B123:C123"/>
    <mergeCell ref="F123:G123"/>
    <mergeCell ref="B118:D118"/>
    <mergeCell ref="F118:H118"/>
    <mergeCell ref="B119:C119"/>
    <mergeCell ref="F119:G119"/>
    <mergeCell ref="B120:C120"/>
    <mergeCell ref="F120:G120"/>
    <mergeCell ref="B108:C108"/>
    <mergeCell ref="F108:G108"/>
    <mergeCell ref="B109:C109"/>
    <mergeCell ref="B116:F116"/>
    <mergeCell ref="B117:H117"/>
    <mergeCell ref="B105:C105"/>
    <mergeCell ref="F105:G105"/>
    <mergeCell ref="B106:C106"/>
    <mergeCell ref="F106:G106"/>
    <mergeCell ref="B107:C107"/>
    <mergeCell ref="F107:G107"/>
    <mergeCell ref="B102:C102"/>
    <mergeCell ref="B103:D103"/>
    <mergeCell ref="F103:H103"/>
    <mergeCell ref="B104:C104"/>
    <mergeCell ref="F104:G104"/>
    <mergeCell ref="B96:C96"/>
    <mergeCell ref="F96:G96"/>
    <mergeCell ref="B97:C97"/>
    <mergeCell ref="F97:G97"/>
    <mergeCell ref="B98:C98"/>
    <mergeCell ref="B93:C93"/>
    <mergeCell ref="F93:G93"/>
    <mergeCell ref="B94:C94"/>
    <mergeCell ref="F94:G94"/>
    <mergeCell ref="B95:C95"/>
    <mergeCell ref="F95:G95"/>
    <mergeCell ref="B84:C84"/>
    <mergeCell ref="F84:G84"/>
    <mergeCell ref="B91:E91"/>
    <mergeCell ref="B92:D92"/>
    <mergeCell ref="F92:H92"/>
    <mergeCell ref="B82:C82"/>
    <mergeCell ref="F82:G82"/>
    <mergeCell ref="J82:K82"/>
    <mergeCell ref="B83:C83"/>
    <mergeCell ref="F83:G83"/>
    <mergeCell ref="J83:K83"/>
    <mergeCell ref="B80:C80"/>
    <mergeCell ref="F80:G80"/>
    <mergeCell ref="J80:K80"/>
    <mergeCell ref="B81:C81"/>
    <mergeCell ref="F81:G81"/>
    <mergeCell ref="J81:K81"/>
    <mergeCell ref="B78:D78"/>
    <mergeCell ref="F78:H78"/>
    <mergeCell ref="J78:L78"/>
    <mergeCell ref="B79:C79"/>
    <mergeCell ref="F79:G79"/>
    <mergeCell ref="J79:K79"/>
    <mergeCell ref="B72:C72"/>
    <mergeCell ref="F72:G72"/>
    <mergeCell ref="J72:K72"/>
    <mergeCell ref="B73:C73"/>
    <mergeCell ref="F73:G73"/>
    <mergeCell ref="B70:C70"/>
    <mergeCell ref="F70:G70"/>
    <mergeCell ref="J70:K70"/>
    <mergeCell ref="B71:C71"/>
    <mergeCell ref="F71:G71"/>
    <mergeCell ref="J71:K71"/>
    <mergeCell ref="J67:L67"/>
    <mergeCell ref="B68:C68"/>
    <mergeCell ref="F68:G68"/>
    <mergeCell ref="J68:K68"/>
    <mergeCell ref="B69:C69"/>
    <mergeCell ref="F69:G69"/>
    <mergeCell ref="J69:K69"/>
    <mergeCell ref="F58:G58"/>
    <mergeCell ref="B65:F65"/>
    <mergeCell ref="B66:F66"/>
    <mergeCell ref="B67:D67"/>
    <mergeCell ref="F67:H67"/>
    <mergeCell ref="B55:C55"/>
    <mergeCell ref="F55:G55"/>
    <mergeCell ref="B56:C56"/>
    <mergeCell ref="F56:G56"/>
    <mergeCell ref="B57:C57"/>
    <mergeCell ref="F57:G57"/>
    <mergeCell ref="B52:C52"/>
    <mergeCell ref="B53:D53"/>
    <mergeCell ref="F53:H53"/>
    <mergeCell ref="B54:C54"/>
    <mergeCell ref="F54:G54"/>
    <mergeCell ref="B46:C46"/>
    <mergeCell ref="F46:G46"/>
    <mergeCell ref="B47:C47"/>
    <mergeCell ref="F47:G47"/>
    <mergeCell ref="B48:C48"/>
    <mergeCell ref="F48:G48"/>
    <mergeCell ref="B43:D43"/>
    <mergeCell ref="F43:H43"/>
    <mergeCell ref="B44:C44"/>
    <mergeCell ref="F44:G44"/>
    <mergeCell ref="B45:C45"/>
    <mergeCell ref="F45:G45"/>
    <mergeCell ref="B33:C33"/>
    <mergeCell ref="F33:G33"/>
    <mergeCell ref="B34:C34"/>
    <mergeCell ref="F34:G34"/>
    <mergeCell ref="F35:G35"/>
    <mergeCell ref="B30:D30"/>
    <mergeCell ref="F30:H30"/>
    <mergeCell ref="B31:C31"/>
    <mergeCell ref="F31:G31"/>
    <mergeCell ref="B32:C32"/>
    <mergeCell ref="F32:G32"/>
    <mergeCell ref="A1:I1"/>
    <mergeCell ref="B20:D20"/>
    <mergeCell ref="F20:H20"/>
    <mergeCell ref="B24:C24"/>
    <mergeCell ref="F24:G24"/>
    <mergeCell ref="B25:C25"/>
    <mergeCell ref="F25:G25"/>
    <mergeCell ref="B29:C29"/>
    <mergeCell ref="B21:C21"/>
    <mergeCell ref="F21:G21"/>
    <mergeCell ref="B22:C22"/>
    <mergeCell ref="F22:G22"/>
    <mergeCell ref="B23:C23"/>
    <mergeCell ref="F23:G23"/>
    <mergeCell ref="A3:K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C2FE1-A5AD-4797-BB5A-9514FB293E0D}">
  <dimension ref="A1:M81"/>
  <sheetViews>
    <sheetView topLeftCell="A28" workbookViewId="0">
      <selection activeCell="K30" sqref="J30:K30"/>
    </sheetView>
  </sheetViews>
  <sheetFormatPr defaultRowHeight="15" x14ac:dyDescent="0.25"/>
  <cols>
    <col min="1" max="11" width="9.140625" style="84"/>
    <col min="12" max="12" width="10.42578125" style="84" bestFit="1" customWidth="1"/>
    <col min="13" max="13" width="9.5703125" style="84" bestFit="1" customWidth="1"/>
    <col min="14" max="16384" width="9.140625" style="84"/>
  </cols>
  <sheetData>
    <row r="1" spans="1:13" ht="21" x14ac:dyDescent="0.35">
      <c r="A1" s="457" t="s">
        <v>1326</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13" x14ac:dyDescent="0.25">
      <c r="A17" s="84" t="s">
        <v>10</v>
      </c>
      <c r="B17" s="84" t="s">
        <v>11</v>
      </c>
    </row>
    <row r="19" spans="1:13" x14ac:dyDescent="0.25">
      <c r="C19" s="196" t="s">
        <v>164</v>
      </c>
      <c r="D19" s="196"/>
      <c r="E19" s="196"/>
    </row>
    <row r="20" spans="1:13" x14ac:dyDescent="0.25">
      <c r="C20" s="196" t="s">
        <v>377</v>
      </c>
      <c r="D20" s="196"/>
      <c r="E20" s="196"/>
    </row>
    <row r="21" spans="1:13" x14ac:dyDescent="0.25">
      <c r="C21" s="196" t="s">
        <v>1327</v>
      </c>
      <c r="D21" s="196"/>
      <c r="E21" s="196"/>
    </row>
    <row r="22" spans="1:13" x14ac:dyDescent="0.25">
      <c r="C22" s="196" t="s">
        <v>1328</v>
      </c>
      <c r="D22" s="196"/>
      <c r="E22" s="196"/>
      <c r="M22" s="191"/>
    </row>
    <row r="23" spans="1:13" x14ac:dyDescent="0.25">
      <c r="C23" s="196" t="s">
        <v>1329</v>
      </c>
      <c r="D23" s="196"/>
      <c r="E23" s="196"/>
    </row>
    <row r="24" spans="1:13" x14ac:dyDescent="0.25">
      <c r="C24" s="86"/>
      <c r="D24" s="86"/>
      <c r="E24" s="86"/>
    </row>
    <row r="27" spans="1:13" x14ac:dyDescent="0.25">
      <c r="A27" s="84" t="s">
        <v>12</v>
      </c>
      <c r="B27" s="84" t="s">
        <v>13</v>
      </c>
    </row>
    <row r="30" spans="1:13" x14ac:dyDescent="0.25">
      <c r="C30" s="84" t="s">
        <v>164</v>
      </c>
    </row>
    <row r="31" spans="1:13" x14ac:dyDescent="0.25">
      <c r="C31" s="84" t="s">
        <v>377</v>
      </c>
    </row>
    <row r="32" spans="1:13" x14ac:dyDescent="0.25">
      <c r="C32" s="84" t="s">
        <v>1327</v>
      </c>
    </row>
    <row r="33" spans="1:5" x14ac:dyDescent="0.25">
      <c r="C33" s="84" t="s">
        <v>1328</v>
      </c>
    </row>
    <row r="34" spans="1:5" x14ac:dyDescent="0.25">
      <c r="C34" s="84" t="s">
        <v>1329</v>
      </c>
    </row>
    <row r="37" spans="1:5" x14ac:dyDescent="0.25">
      <c r="A37" s="84" t="s">
        <v>15</v>
      </c>
      <c r="B37" s="84" t="s">
        <v>16</v>
      </c>
    </row>
    <row r="39" spans="1:5" x14ac:dyDescent="0.25">
      <c r="C39" s="86"/>
      <c r="D39" s="86"/>
      <c r="E39" s="86"/>
    </row>
    <row r="40" spans="1:5" x14ac:dyDescent="0.25">
      <c r="C40" s="196"/>
      <c r="D40" s="196"/>
      <c r="E40" s="196"/>
    </row>
    <row r="41" spans="1:5" x14ac:dyDescent="0.25">
      <c r="C41" s="86" t="s">
        <v>1682</v>
      </c>
      <c r="D41" s="86"/>
      <c r="E41" s="86"/>
    </row>
    <row r="42" spans="1:5" x14ac:dyDescent="0.25">
      <c r="C42" s="86"/>
      <c r="D42" s="86"/>
      <c r="E42" s="86"/>
    </row>
    <row r="43" spans="1:5" x14ac:dyDescent="0.25">
      <c r="C43" s="86"/>
      <c r="D43" s="86"/>
      <c r="E43" s="86"/>
    </row>
    <row r="44" spans="1:5" x14ac:dyDescent="0.25">
      <c r="C44" s="86"/>
      <c r="D44" s="86"/>
      <c r="E44" s="86"/>
    </row>
    <row r="48" spans="1:5" x14ac:dyDescent="0.25">
      <c r="A48" s="84" t="s">
        <v>17</v>
      </c>
      <c r="B48" s="84" t="s">
        <v>18</v>
      </c>
    </row>
    <row r="50" spans="1:13" x14ac:dyDescent="0.25">
      <c r="B50" s="86"/>
      <c r="C50" s="86"/>
      <c r="D50" s="86"/>
      <c r="E50" s="86"/>
      <c r="F50" s="86"/>
      <c r="G50" s="86"/>
      <c r="H50" s="86"/>
      <c r="I50" s="86"/>
      <c r="J50" s="86"/>
      <c r="K50" s="86"/>
      <c r="L50" s="86"/>
      <c r="M50" s="86"/>
    </row>
    <row r="51" spans="1:13" x14ac:dyDescent="0.25">
      <c r="B51" s="86"/>
      <c r="C51" s="86" t="s">
        <v>176</v>
      </c>
      <c r="D51" s="86"/>
      <c r="E51" s="86"/>
      <c r="F51" s="86"/>
      <c r="G51" s="86"/>
      <c r="H51" s="86"/>
      <c r="I51" s="86"/>
      <c r="J51" s="86"/>
      <c r="K51" s="86"/>
      <c r="L51" s="86"/>
      <c r="M51" s="86"/>
    </row>
    <row r="52" spans="1:13" x14ac:dyDescent="0.25">
      <c r="B52" s="86"/>
      <c r="C52" s="86" t="s">
        <v>377</v>
      </c>
      <c r="D52" s="86"/>
      <c r="E52" s="86"/>
      <c r="F52" s="86"/>
      <c r="G52" s="86"/>
      <c r="H52" s="86"/>
      <c r="I52" s="86"/>
      <c r="J52" s="86"/>
      <c r="K52" s="86"/>
      <c r="L52" s="202"/>
      <c r="M52" s="86"/>
    </row>
    <row r="53" spans="1:13" x14ac:dyDescent="0.25">
      <c r="C53" s="86" t="s">
        <v>1330</v>
      </c>
      <c r="D53" s="86"/>
      <c r="E53" s="86"/>
    </row>
    <row r="54" spans="1:13" x14ac:dyDescent="0.25">
      <c r="C54" s="86" t="s">
        <v>1331</v>
      </c>
      <c r="D54" s="86"/>
      <c r="E54" s="86"/>
    </row>
    <row r="55" spans="1:13" x14ac:dyDescent="0.25">
      <c r="C55" s="86" t="s">
        <v>1332</v>
      </c>
      <c r="D55" s="86"/>
      <c r="E55" s="86"/>
    </row>
    <row r="58" spans="1:13" x14ac:dyDescent="0.25">
      <c r="A58" s="84" t="s">
        <v>20</v>
      </c>
      <c r="B58" s="84" t="s">
        <v>21</v>
      </c>
    </row>
    <row r="60" spans="1:13" x14ac:dyDescent="0.25">
      <c r="C60" s="86"/>
      <c r="D60" s="86"/>
      <c r="E60" s="86"/>
    </row>
    <row r="61" spans="1:13" x14ac:dyDescent="0.25">
      <c r="C61" s="86" t="s">
        <v>1333</v>
      </c>
      <c r="D61" s="86"/>
      <c r="E61" s="86"/>
    </row>
    <row r="62" spans="1:13" x14ac:dyDescent="0.25">
      <c r="C62" s="86" t="s">
        <v>378</v>
      </c>
      <c r="D62" s="86"/>
      <c r="E62" s="86"/>
    </row>
    <row r="63" spans="1:13" x14ac:dyDescent="0.25">
      <c r="C63" s="86" t="s">
        <v>379</v>
      </c>
      <c r="D63" s="86"/>
      <c r="E63" s="86"/>
    </row>
    <row r="64" spans="1:13" x14ac:dyDescent="0.25">
      <c r="C64" s="86"/>
      <c r="D64" s="86"/>
      <c r="E64" s="86"/>
    </row>
    <row r="65" spans="1:13" x14ac:dyDescent="0.25">
      <c r="C65" s="86"/>
      <c r="D65" s="86"/>
      <c r="E65" s="86"/>
    </row>
    <row r="66" spans="1:13" x14ac:dyDescent="0.25">
      <c r="B66" s="86"/>
      <c r="C66" s="86"/>
      <c r="D66" s="86"/>
      <c r="E66" s="86"/>
      <c r="F66" s="86"/>
      <c r="G66" s="86"/>
      <c r="H66" s="86"/>
      <c r="I66" s="86"/>
      <c r="J66" s="86"/>
      <c r="K66" s="86"/>
      <c r="L66" s="86"/>
      <c r="M66" s="86"/>
    </row>
    <row r="67" spans="1:13" x14ac:dyDescent="0.25">
      <c r="B67" s="86"/>
      <c r="C67" s="86"/>
      <c r="D67" s="86"/>
      <c r="E67" s="86"/>
      <c r="F67" s="86"/>
      <c r="G67" s="86"/>
      <c r="H67" s="86"/>
      <c r="I67" s="86"/>
      <c r="J67" s="86"/>
      <c r="K67" s="86"/>
      <c r="L67" s="86"/>
      <c r="M67" s="86"/>
    </row>
    <row r="68" spans="1:13" x14ac:dyDescent="0.25">
      <c r="A68" s="84" t="s">
        <v>22</v>
      </c>
      <c r="B68" s="84" t="s">
        <v>23</v>
      </c>
    </row>
    <row r="69" spans="1:13" ht="40.5" customHeight="1" x14ac:dyDescent="0.25">
      <c r="B69" s="459" t="s">
        <v>24</v>
      </c>
      <c r="C69" s="459"/>
      <c r="D69" s="459"/>
      <c r="E69" s="459"/>
      <c r="F69" s="459"/>
      <c r="G69" s="459"/>
      <c r="H69" s="459"/>
      <c r="I69" s="459"/>
      <c r="J69" s="459"/>
      <c r="K69" s="459"/>
      <c r="L69" s="86"/>
      <c r="M69" s="86"/>
    </row>
    <row r="70" spans="1:13" x14ac:dyDescent="0.25">
      <c r="B70" s="88"/>
      <c r="C70" s="88"/>
      <c r="D70" s="88"/>
      <c r="E70" s="88"/>
      <c r="F70" s="88"/>
      <c r="G70" s="88"/>
      <c r="H70" s="88"/>
      <c r="I70" s="88"/>
      <c r="J70" s="88"/>
      <c r="K70" s="88"/>
      <c r="L70" s="86"/>
      <c r="M70" s="86"/>
    </row>
    <row r="71" spans="1:13" x14ac:dyDescent="0.25">
      <c r="B71" s="88"/>
      <c r="C71" s="88"/>
      <c r="D71" s="88"/>
      <c r="E71" s="88"/>
      <c r="F71" s="88"/>
      <c r="G71" s="88"/>
      <c r="H71" s="88"/>
      <c r="I71" s="88"/>
      <c r="J71" s="88"/>
      <c r="K71" s="88"/>
      <c r="L71" s="86"/>
      <c r="M71" s="86"/>
    </row>
    <row r="73" spans="1:13" x14ac:dyDescent="0.25">
      <c r="C73" s="84" t="s">
        <v>380</v>
      </c>
    </row>
    <row r="74" spans="1:13" x14ac:dyDescent="0.25">
      <c r="C74" s="84" t="s">
        <v>1334</v>
      </c>
    </row>
    <row r="75" spans="1:13" x14ac:dyDescent="0.25">
      <c r="C75" s="84" t="s">
        <v>1335</v>
      </c>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row r="81" spans="2:13" x14ac:dyDescent="0.25">
      <c r="B81" s="86"/>
      <c r="C81" s="86"/>
      <c r="D81" s="86"/>
      <c r="E81" s="86"/>
      <c r="F81" s="86"/>
      <c r="G81" s="86"/>
      <c r="H81" s="86"/>
      <c r="I81" s="86"/>
      <c r="J81" s="86"/>
      <c r="K81" s="86"/>
      <c r="L81" s="86"/>
      <c r="M81" s="86"/>
    </row>
  </sheetData>
  <mergeCells count="3">
    <mergeCell ref="A1:I1"/>
    <mergeCell ref="A3:K6"/>
    <mergeCell ref="B69:K6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40CFA-6FDB-4932-8CE1-DD4C7CD520D3}">
  <dimension ref="A1:M99"/>
  <sheetViews>
    <sheetView workbookViewId="0">
      <selection sqref="A1:XFD1048576"/>
    </sheetView>
  </sheetViews>
  <sheetFormatPr defaultRowHeight="15" x14ac:dyDescent="0.25"/>
  <cols>
    <col min="1" max="4" width="9.140625" style="84"/>
    <col min="5" max="6" width="10.5703125" style="84" bestFit="1" customWidth="1"/>
    <col min="7" max="16384" width="9.140625" style="84"/>
  </cols>
  <sheetData>
    <row r="1" spans="1:13" ht="21" x14ac:dyDescent="0.35">
      <c r="A1" s="457" t="s">
        <v>1336</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5" x14ac:dyDescent="0.25">
      <c r="A17" s="84" t="s">
        <v>10</v>
      </c>
      <c r="B17" s="84" t="s">
        <v>11</v>
      </c>
    </row>
    <row r="20" spans="1:5" x14ac:dyDescent="0.25">
      <c r="B20" t="s">
        <v>320</v>
      </c>
      <c r="C20"/>
      <c r="D20"/>
      <c r="E20" s="79">
        <v>1600</v>
      </c>
    </row>
    <row r="21" spans="1:5" x14ac:dyDescent="0.25">
      <c r="B21" t="s">
        <v>381</v>
      </c>
      <c r="C21"/>
      <c r="D21"/>
      <c r="E21">
        <v>1.695E-2</v>
      </c>
    </row>
    <row r="22" spans="1:5" x14ac:dyDescent="0.25">
      <c r="B22" s="4" t="s">
        <v>382</v>
      </c>
      <c r="C22" s="4"/>
      <c r="D22" s="4"/>
      <c r="E22" s="287">
        <f>SUM(E20*E21)</f>
        <v>27.12</v>
      </c>
    </row>
    <row r="27" spans="1:5" x14ac:dyDescent="0.25">
      <c r="A27" s="84" t="s">
        <v>12</v>
      </c>
      <c r="B27" s="84" t="s">
        <v>13</v>
      </c>
    </row>
    <row r="30" spans="1:5" x14ac:dyDescent="0.25">
      <c r="B30" t="s">
        <v>320</v>
      </c>
      <c r="C30"/>
      <c r="D30"/>
      <c r="E30" s="79">
        <v>1600</v>
      </c>
    </row>
    <row r="31" spans="1:5" x14ac:dyDescent="0.25">
      <c r="B31" t="s">
        <v>381</v>
      </c>
      <c r="C31"/>
      <c r="D31"/>
      <c r="E31">
        <v>1.695E-2</v>
      </c>
    </row>
    <row r="32" spans="1:5" x14ac:dyDescent="0.25">
      <c r="B32" s="4" t="s">
        <v>382</v>
      </c>
      <c r="C32" s="4"/>
      <c r="D32" s="4"/>
      <c r="E32" s="287">
        <f>SUM(E30*E31)</f>
        <v>27.12</v>
      </c>
    </row>
    <row r="37" spans="1:6" x14ac:dyDescent="0.25">
      <c r="A37" s="84" t="s">
        <v>15</v>
      </c>
      <c r="B37" s="84" t="s">
        <v>16</v>
      </c>
    </row>
    <row r="40" spans="1:6" x14ac:dyDescent="0.25">
      <c r="B40" t="s">
        <v>191</v>
      </c>
      <c r="C40" t="s">
        <v>383</v>
      </c>
      <c r="D40"/>
      <c r="E40"/>
      <c r="F40" s="79">
        <v>1200</v>
      </c>
    </row>
    <row r="41" spans="1:6" x14ac:dyDescent="0.25">
      <c r="B41"/>
      <c r="C41" t="s">
        <v>381</v>
      </c>
      <c r="D41"/>
      <c r="E41"/>
      <c r="F41">
        <v>1.695E-2</v>
      </c>
    </row>
    <row r="42" spans="1:6" x14ac:dyDescent="0.25">
      <c r="B42"/>
      <c r="C42" t="s">
        <v>384</v>
      </c>
      <c r="D42"/>
      <c r="E42"/>
      <c r="F42" s="79">
        <f>SUM(F40*F41)</f>
        <v>20.34</v>
      </c>
    </row>
    <row r="43" spans="1:6" x14ac:dyDescent="0.25">
      <c r="B43"/>
      <c r="C43"/>
      <c r="D43"/>
      <c r="E43"/>
      <c r="F43"/>
    </row>
    <row r="44" spans="1:6" x14ac:dyDescent="0.25">
      <c r="B44" t="s">
        <v>190</v>
      </c>
      <c r="C44" t="s">
        <v>385</v>
      </c>
      <c r="D44"/>
      <c r="E44"/>
      <c r="F44" s="79">
        <v>1200</v>
      </c>
    </row>
    <row r="45" spans="1:6" x14ac:dyDescent="0.25">
      <c r="B45"/>
      <c r="C45" t="s">
        <v>381</v>
      </c>
      <c r="D45"/>
      <c r="E45"/>
      <c r="F45">
        <v>1.695E-2</v>
      </c>
    </row>
    <row r="46" spans="1:6" x14ac:dyDescent="0.25">
      <c r="B46"/>
      <c r="C46" t="s">
        <v>386</v>
      </c>
      <c r="D46"/>
      <c r="E46"/>
      <c r="F46" s="79">
        <f>SUM(F44*F45)</f>
        <v>20.34</v>
      </c>
    </row>
    <row r="47" spans="1:6" x14ac:dyDescent="0.25">
      <c r="B47"/>
      <c r="C47"/>
      <c r="D47"/>
      <c r="E47"/>
      <c r="F47"/>
    </row>
    <row r="48" spans="1:6" x14ac:dyDescent="0.25">
      <c r="B48"/>
      <c r="C48"/>
      <c r="D48" t="s">
        <v>384</v>
      </c>
      <c r="E48"/>
      <c r="F48" s="79">
        <v>20.34</v>
      </c>
    </row>
    <row r="49" spans="1:13" x14ac:dyDescent="0.25">
      <c r="B49"/>
      <c r="C49"/>
      <c r="D49" t="s">
        <v>386</v>
      </c>
      <c r="E49"/>
      <c r="F49" s="79">
        <v>-20.34</v>
      </c>
    </row>
    <row r="50" spans="1:13" x14ac:dyDescent="0.25">
      <c r="B50"/>
      <c r="C50"/>
      <c r="D50" s="4" t="s">
        <v>387</v>
      </c>
      <c r="E50" s="4"/>
      <c r="F50" s="287">
        <v>0</v>
      </c>
    </row>
    <row r="59" spans="1:13" x14ac:dyDescent="0.25">
      <c r="A59" s="84" t="s">
        <v>17</v>
      </c>
      <c r="B59" s="84" t="s">
        <v>18</v>
      </c>
    </row>
    <row r="61" spans="1:13" x14ac:dyDescent="0.25">
      <c r="B61" s="86"/>
      <c r="C61" s="86"/>
      <c r="D61" s="86"/>
      <c r="E61" s="86"/>
      <c r="F61" s="86"/>
      <c r="G61" s="86"/>
      <c r="H61" s="86"/>
      <c r="I61" s="86"/>
      <c r="J61" s="86"/>
      <c r="K61" s="86"/>
      <c r="L61" s="86"/>
      <c r="M61" s="86"/>
    </row>
    <row r="62" spans="1:13" x14ac:dyDescent="0.25">
      <c r="B62" t="s">
        <v>320</v>
      </c>
      <c r="C62"/>
      <c r="D62"/>
      <c r="E62" s="79">
        <v>863.33</v>
      </c>
      <c r="F62" s="86"/>
      <c r="G62" s="86"/>
      <c r="H62" s="86"/>
      <c r="I62" s="86"/>
      <c r="J62" s="86"/>
      <c r="K62" s="86"/>
      <c r="L62" s="86"/>
      <c r="M62" s="86"/>
    </row>
    <row r="63" spans="1:13" x14ac:dyDescent="0.25">
      <c r="B63" t="s">
        <v>381</v>
      </c>
      <c r="C63"/>
      <c r="D63"/>
      <c r="E63">
        <v>1.695E-2</v>
      </c>
      <c r="F63" s="86"/>
      <c r="G63" s="86"/>
      <c r="H63" s="86"/>
      <c r="I63" s="86"/>
      <c r="J63" s="86"/>
      <c r="K63" s="86"/>
      <c r="L63" s="86"/>
      <c r="M63" s="86"/>
    </row>
    <row r="64" spans="1:13" x14ac:dyDescent="0.25">
      <c r="B64" s="4" t="s">
        <v>382</v>
      </c>
      <c r="C64" s="4"/>
      <c r="D64" s="4"/>
      <c r="E64" s="287">
        <f>SUM(E62*E63)</f>
        <v>14.6334435</v>
      </c>
    </row>
    <row r="69" spans="1:13" x14ac:dyDescent="0.25">
      <c r="A69" s="84" t="s">
        <v>20</v>
      </c>
      <c r="B69" s="84" t="s">
        <v>21</v>
      </c>
    </row>
    <row r="71" spans="1:13" x14ac:dyDescent="0.25">
      <c r="B71" t="s">
        <v>388</v>
      </c>
      <c r="C71" t="s">
        <v>178</v>
      </c>
      <c r="D71"/>
      <c r="E71" t="s">
        <v>5</v>
      </c>
      <c r="F71" s="79">
        <v>800</v>
      </c>
    </row>
    <row r="72" spans="1:13" x14ac:dyDescent="0.25">
      <c r="B72"/>
      <c r="C72" t="s">
        <v>156</v>
      </c>
      <c r="D72"/>
      <c r="E72" t="s">
        <v>14</v>
      </c>
      <c r="F72">
        <v>1.695E-2</v>
      </c>
    </row>
    <row r="73" spans="1:13" x14ac:dyDescent="0.25">
      <c r="B73"/>
      <c r="C73"/>
      <c r="D73"/>
      <c r="E73" t="s">
        <v>14</v>
      </c>
      <c r="F73" s="79">
        <f>SUM(F71*F72)</f>
        <v>13.56</v>
      </c>
    </row>
    <row r="74" spans="1:13" x14ac:dyDescent="0.25">
      <c r="B74"/>
      <c r="C74"/>
      <c r="D74"/>
      <c r="E74"/>
      <c r="F74"/>
    </row>
    <row r="75" spans="1:13" x14ac:dyDescent="0.25">
      <c r="B75" t="s">
        <v>389</v>
      </c>
      <c r="C75" t="s">
        <v>178</v>
      </c>
      <c r="D75"/>
      <c r="E75"/>
      <c r="F75" s="79">
        <v>740</v>
      </c>
    </row>
    <row r="76" spans="1:13" x14ac:dyDescent="0.25">
      <c r="B76"/>
      <c r="C76" t="s">
        <v>156</v>
      </c>
      <c r="D76"/>
      <c r="E76"/>
      <c r="F76">
        <v>1.695E-2</v>
      </c>
    </row>
    <row r="77" spans="1:13" x14ac:dyDescent="0.25">
      <c r="B77"/>
      <c r="C77"/>
      <c r="D77"/>
      <c r="E77"/>
      <c r="F77" s="79">
        <f>SUM(F75*F76)</f>
        <v>12.542999999999999</v>
      </c>
      <c r="G77" s="86"/>
      <c r="H77" s="86"/>
      <c r="I77" s="86"/>
      <c r="J77" s="86"/>
      <c r="K77" s="86"/>
      <c r="L77" s="86"/>
      <c r="M77" s="86"/>
    </row>
    <row r="78" spans="1:13" x14ac:dyDescent="0.25">
      <c r="B78"/>
      <c r="C78"/>
      <c r="D78"/>
      <c r="E78"/>
      <c r="F78"/>
      <c r="G78" s="86"/>
      <c r="H78" s="86"/>
      <c r="I78" s="86"/>
      <c r="J78" s="86"/>
      <c r="K78" s="86"/>
      <c r="L78" s="86"/>
      <c r="M78" s="86"/>
    </row>
    <row r="79" spans="1:13" x14ac:dyDescent="0.25">
      <c r="B79"/>
      <c r="C79" t="s">
        <v>390</v>
      </c>
      <c r="D79"/>
      <c r="E79"/>
      <c r="F79" s="79">
        <v>13.56</v>
      </c>
      <c r="G79" s="86"/>
      <c r="H79" s="86"/>
      <c r="I79" s="86"/>
      <c r="J79" s="86"/>
      <c r="K79" s="86"/>
      <c r="L79" s="86"/>
      <c r="M79" s="86"/>
    </row>
    <row r="80" spans="1:13" x14ac:dyDescent="0.25">
      <c r="B80" s="1"/>
      <c r="C80" s="1" t="s">
        <v>389</v>
      </c>
      <c r="D80"/>
      <c r="E80"/>
      <c r="F80" s="288">
        <v>-12.54</v>
      </c>
      <c r="G80" s="86"/>
      <c r="H80" s="86"/>
      <c r="I80" s="86"/>
      <c r="J80" s="86"/>
      <c r="K80" s="86"/>
      <c r="L80" s="86"/>
      <c r="M80" s="86"/>
    </row>
    <row r="81" spans="1:13" x14ac:dyDescent="0.25">
      <c r="B81" s="1"/>
      <c r="C81" s="72" t="s">
        <v>391</v>
      </c>
      <c r="D81"/>
      <c r="E81" s="4"/>
      <c r="F81" s="289">
        <f>SUM(F79+F80)</f>
        <v>1.0200000000000014</v>
      </c>
      <c r="G81" s="86"/>
      <c r="H81" s="86"/>
      <c r="I81" s="86"/>
      <c r="J81" s="86"/>
      <c r="K81" s="86"/>
      <c r="L81" s="86"/>
      <c r="M81" s="86"/>
    </row>
    <row r="82" spans="1:13" x14ac:dyDescent="0.25">
      <c r="B82" s="86"/>
      <c r="C82" s="86"/>
      <c r="D82" s="86"/>
      <c r="E82" s="86"/>
      <c r="F82" s="86"/>
      <c r="G82" s="86"/>
      <c r="H82" s="86"/>
      <c r="I82" s="86"/>
      <c r="J82" s="86"/>
      <c r="K82" s="86"/>
      <c r="L82" s="86"/>
      <c r="M82" s="86"/>
    </row>
    <row r="83" spans="1:13" x14ac:dyDescent="0.25">
      <c r="B83" s="86"/>
      <c r="C83" s="86"/>
      <c r="D83" s="86"/>
      <c r="E83" s="86"/>
      <c r="F83" s="86"/>
      <c r="G83" s="86"/>
      <c r="H83" s="86"/>
      <c r="I83" s="86"/>
      <c r="J83" s="86"/>
      <c r="K83" s="86"/>
      <c r="L83" s="86"/>
      <c r="M83" s="86"/>
    </row>
    <row r="84" spans="1:13" x14ac:dyDescent="0.25">
      <c r="B84" s="86"/>
      <c r="C84" s="86"/>
      <c r="D84" s="86"/>
      <c r="E84" s="86"/>
      <c r="F84" s="86"/>
      <c r="G84" s="86"/>
      <c r="H84" s="86"/>
      <c r="I84" s="86"/>
      <c r="J84" s="86"/>
      <c r="K84" s="86"/>
      <c r="L84" s="86"/>
      <c r="M84" s="86"/>
    </row>
    <row r="85" spans="1:13" x14ac:dyDescent="0.25">
      <c r="B85" s="86"/>
      <c r="C85" s="86"/>
      <c r="D85" s="86"/>
      <c r="E85" s="86"/>
      <c r="F85" s="86"/>
      <c r="G85" s="86"/>
      <c r="H85" s="86"/>
      <c r="I85" s="86"/>
      <c r="J85" s="86"/>
      <c r="K85" s="86"/>
      <c r="L85" s="86"/>
      <c r="M85" s="86"/>
    </row>
    <row r="86" spans="1:13" x14ac:dyDescent="0.25">
      <c r="A86" s="84" t="s">
        <v>22</v>
      </c>
      <c r="B86" s="84" t="s">
        <v>23</v>
      </c>
    </row>
    <row r="87" spans="1:13" ht="40.5" customHeight="1" x14ac:dyDescent="0.25">
      <c r="B87" s="459" t="s">
        <v>24</v>
      </c>
      <c r="C87" s="459"/>
      <c r="D87" s="459"/>
      <c r="E87" s="459"/>
      <c r="F87" s="459"/>
      <c r="G87" s="459"/>
      <c r="H87" s="459"/>
      <c r="I87" s="459"/>
      <c r="J87" s="459"/>
      <c r="K87" s="459"/>
      <c r="L87" s="86"/>
      <c r="M87" s="86"/>
    </row>
    <row r="88" spans="1:13" x14ac:dyDescent="0.25">
      <c r="B88" s="88"/>
      <c r="C88" s="88"/>
      <c r="D88" s="88"/>
      <c r="E88" s="88"/>
      <c r="F88" s="88"/>
      <c r="G88" s="88"/>
      <c r="H88" s="88"/>
      <c r="I88" s="88"/>
      <c r="J88" s="88"/>
      <c r="K88" s="88"/>
      <c r="L88" s="86"/>
      <c r="M88" s="86"/>
    </row>
    <row r="89" spans="1:13" x14ac:dyDescent="0.25">
      <c r="B89" s="88"/>
      <c r="C89" s="88"/>
      <c r="D89" s="88"/>
      <c r="E89" s="88"/>
      <c r="F89" s="88"/>
      <c r="G89" s="88"/>
      <c r="H89" s="88"/>
      <c r="I89" s="88"/>
      <c r="J89" s="88"/>
      <c r="K89" s="88"/>
      <c r="L89" s="86"/>
      <c r="M89" s="86"/>
    </row>
    <row r="90" spans="1:13" x14ac:dyDescent="0.25">
      <c r="B90" t="s">
        <v>320</v>
      </c>
      <c r="C90"/>
      <c r="D90"/>
      <c r="E90" s="79">
        <v>280</v>
      </c>
    </row>
    <row r="91" spans="1:13" x14ac:dyDescent="0.25">
      <c r="B91" t="s">
        <v>381</v>
      </c>
      <c r="C91"/>
      <c r="D91"/>
      <c r="E91">
        <v>1.695E-2</v>
      </c>
    </row>
    <row r="92" spans="1:13" x14ac:dyDescent="0.25">
      <c r="B92" s="4" t="s">
        <v>382</v>
      </c>
      <c r="C92" s="4"/>
      <c r="D92" s="4"/>
      <c r="E92" s="287">
        <f>SUM(E90*E91)</f>
        <v>4.7459999999999996</v>
      </c>
    </row>
    <row r="93" spans="1:13" x14ac:dyDescent="0.25">
      <c r="B93"/>
      <c r="C93"/>
      <c r="D93"/>
      <c r="E93"/>
    </row>
    <row r="94" spans="1:13" x14ac:dyDescent="0.25">
      <c r="B94" t="s">
        <v>392</v>
      </c>
      <c r="C94"/>
      <c r="D94"/>
      <c r="E94"/>
    </row>
    <row r="97" spans="2:13" x14ac:dyDescent="0.25">
      <c r="B97" s="86"/>
      <c r="C97" s="86"/>
      <c r="D97" s="86"/>
      <c r="E97" s="86"/>
      <c r="F97" s="86"/>
      <c r="G97" s="86"/>
      <c r="H97" s="86"/>
      <c r="I97" s="86"/>
      <c r="J97" s="86"/>
      <c r="K97" s="86"/>
      <c r="L97" s="86"/>
      <c r="M97" s="86"/>
    </row>
    <row r="98" spans="2:13" x14ac:dyDescent="0.25">
      <c r="B98" s="86"/>
      <c r="C98" s="86"/>
      <c r="D98" s="86"/>
      <c r="E98" s="86"/>
      <c r="F98" s="86"/>
      <c r="G98" s="86"/>
      <c r="H98" s="86"/>
      <c r="I98" s="86"/>
      <c r="J98" s="86"/>
      <c r="K98" s="86"/>
      <c r="L98" s="86"/>
      <c r="M98" s="86"/>
    </row>
    <row r="99" spans="2:13" x14ac:dyDescent="0.25">
      <c r="B99" s="86"/>
      <c r="C99" s="86"/>
      <c r="D99" s="86"/>
      <c r="E99" s="86"/>
      <c r="F99" s="86"/>
      <c r="G99" s="86"/>
      <c r="H99" s="86"/>
      <c r="I99" s="86"/>
      <c r="J99" s="86"/>
      <c r="K99" s="86"/>
      <c r="L99" s="86"/>
      <c r="M99" s="86"/>
    </row>
  </sheetData>
  <mergeCells count="3">
    <mergeCell ref="A1:I1"/>
    <mergeCell ref="A3:K6"/>
    <mergeCell ref="B87:K87"/>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50A93-1D0C-4239-B03F-35BEAB9044AD}">
  <dimension ref="A1:M81"/>
  <sheetViews>
    <sheetView workbookViewId="0">
      <selection sqref="A1:XFD1048576"/>
    </sheetView>
  </sheetViews>
  <sheetFormatPr defaultRowHeight="15" x14ac:dyDescent="0.25"/>
  <cols>
    <col min="1" max="16384" width="9.140625" style="84"/>
  </cols>
  <sheetData>
    <row r="1" spans="1:13" ht="21" x14ac:dyDescent="0.35">
      <c r="A1" s="457" t="s">
        <v>1337</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4" x14ac:dyDescent="0.25">
      <c r="A17" s="84" t="s">
        <v>10</v>
      </c>
      <c r="B17" s="84" t="s">
        <v>11</v>
      </c>
    </row>
    <row r="19" spans="1:4" x14ac:dyDescent="0.25">
      <c r="B19" s="13" t="s">
        <v>154</v>
      </c>
      <c r="C19" s="13"/>
      <c r="D19" s="13"/>
    </row>
    <row r="20" spans="1:4" x14ac:dyDescent="0.25">
      <c r="B20" s="13" t="s">
        <v>393</v>
      </c>
      <c r="C20" s="13"/>
      <c r="D20" s="13"/>
    </row>
    <row r="21" spans="1:4" x14ac:dyDescent="0.25">
      <c r="B21" s="13" t="s">
        <v>394</v>
      </c>
      <c r="C21" s="13"/>
      <c r="D21" s="13"/>
    </row>
    <row r="22" spans="1:4" x14ac:dyDescent="0.25">
      <c r="B22" s="12" t="s">
        <v>175</v>
      </c>
      <c r="C22" s="25">
        <v>33.76</v>
      </c>
      <c r="D22" s="13"/>
    </row>
    <row r="27" spans="1:4" x14ac:dyDescent="0.25">
      <c r="A27" s="84" t="s">
        <v>12</v>
      </c>
      <c r="B27" s="84" t="s">
        <v>13</v>
      </c>
    </row>
    <row r="29" spans="1:4" x14ac:dyDescent="0.25">
      <c r="B29" s="13" t="s">
        <v>154</v>
      </c>
      <c r="C29" s="13"/>
      <c r="D29" s="13"/>
    </row>
    <row r="30" spans="1:4" x14ac:dyDescent="0.25">
      <c r="B30" s="13" t="s">
        <v>393</v>
      </c>
      <c r="C30" s="13"/>
      <c r="D30" s="13"/>
    </row>
    <row r="31" spans="1:4" x14ac:dyDescent="0.25">
      <c r="B31" s="13" t="s">
        <v>394</v>
      </c>
      <c r="C31" s="13"/>
      <c r="D31" s="13"/>
    </row>
    <row r="32" spans="1:4" x14ac:dyDescent="0.25">
      <c r="B32" s="12" t="s">
        <v>175</v>
      </c>
      <c r="C32" s="25">
        <v>33.76</v>
      </c>
      <c r="D32" s="13"/>
    </row>
    <row r="37" spans="1:11" x14ac:dyDescent="0.25">
      <c r="A37" s="84" t="s">
        <v>15</v>
      </c>
      <c r="B37" s="84" t="s">
        <v>16</v>
      </c>
    </row>
    <row r="39" spans="1:11" x14ac:dyDescent="0.25">
      <c r="B39" s="13" t="s">
        <v>395</v>
      </c>
      <c r="C39" s="13" t="s">
        <v>154</v>
      </c>
      <c r="D39" s="13"/>
      <c r="E39" s="13"/>
      <c r="F39" s="13" t="s">
        <v>190</v>
      </c>
      <c r="G39" s="13" t="s">
        <v>396</v>
      </c>
      <c r="H39" s="13"/>
      <c r="I39" s="13"/>
      <c r="J39"/>
      <c r="K39"/>
    </row>
    <row r="40" spans="1:11" x14ac:dyDescent="0.25">
      <c r="B40" s="13"/>
      <c r="C40" s="13" t="s">
        <v>397</v>
      </c>
      <c r="D40" s="13"/>
      <c r="E40" s="13"/>
      <c r="F40" s="13"/>
      <c r="G40" s="13" t="s">
        <v>398</v>
      </c>
      <c r="H40" s="13"/>
      <c r="I40" s="22">
        <v>1494</v>
      </c>
      <c r="J40"/>
      <c r="K40"/>
    </row>
    <row r="41" spans="1:11" x14ac:dyDescent="0.25">
      <c r="B41" s="13"/>
      <c r="C41" s="13" t="s">
        <v>399</v>
      </c>
      <c r="D41" s="13"/>
      <c r="E41" s="13"/>
      <c r="F41" s="13"/>
      <c r="G41" s="13" t="s">
        <v>400</v>
      </c>
      <c r="H41" s="13"/>
      <c r="I41" s="13"/>
      <c r="J41"/>
      <c r="K41"/>
    </row>
    <row r="42" spans="1:11" x14ac:dyDescent="0.25">
      <c r="B42" s="13"/>
      <c r="C42" s="12" t="s">
        <v>401</v>
      </c>
      <c r="D42" s="13"/>
      <c r="E42" s="13"/>
      <c r="F42" s="13"/>
      <c r="G42" s="12" t="s">
        <v>402</v>
      </c>
      <c r="H42" s="13"/>
      <c r="I42" s="13"/>
      <c r="J42"/>
      <c r="K42"/>
    </row>
    <row r="43" spans="1:11" x14ac:dyDescent="0.25">
      <c r="B43" s="13"/>
      <c r="C43" s="13"/>
      <c r="D43" s="13"/>
      <c r="E43" s="13" t="s">
        <v>403</v>
      </c>
      <c r="F43" s="13"/>
      <c r="G43" s="13"/>
      <c r="H43" s="13"/>
      <c r="I43" s="13"/>
      <c r="J43"/>
      <c r="K43"/>
    </row>
    <row r="44" spans="1:11" x14ac:dyDescent="0.25">
      <c r="B44" s="13"/>
      <c r="C44" s="13"/>
      <c r="D44" s="13"/>
      <c r="E44" s="13" t="s">
        <v>404</v>
      </c>
      <c r="F44" s="13"/>
      <c r="G44" s="13"/>
      <c r="H44" s="13"/>
      <c r="I44" s="13"/>
      <c r="J44"/>
      <c r="K44"/>
    </row>
    <row r="45" spans="1:11" x14ac:dyDescent="0.25">
      <c r="B45" s="13"/>
      <c r="C45" s="13"/>
      <c r="D45" s="13"/>
      <c r="E45" s="12" t="s">
        <v>405</v>
      </c>
      <c r="F45" s="13"/>
      <c r="G45" s="13"/>
      <c r="H45" s="13"/>
      <c r="I45" s="13"/>
      <c r="J45"/>
      <c r="K45"/>
    </row>
    <row r="47" spans="1:11" x14ac:dyDescent="0.25">
      <c r="A47" s="84" t="s">
        <v>17</v>
      </c>
      <c r="B47" s="84" t="s">
        <v>18</v>
      </c>
    </row>
    <row r="49" spans="1:13" x14ac:dyDescent="0.25">
      <c r="B49"/>
      <c r="C49" s="13" t="s">
        <v>161</v>
      </c>
      <c r="D49" s="13"/>
      <c r="E49" s="13"/>
      <c r="F49" s="1"/>
      <c r="G49" s="1"/>
      <c r="H49" s="1"/>
      <c r="I49" s="1"/>
      <c r="J49" s="86"/>
      <c r="K49" s="86"/>
      <c r="L49" s="86"/>
      <c r="M49" s="86"/>
    </row>
    <row r="50" spans="1:13" x14ac:dyDescent="0.25">
      <c r="B50"/>
      <c r="C50" s="13" t="s">
        <v>406</v>
      </c>
      <c r="D50" s="13"/>
      <c r="E50" s="13"/>
      <c r="F50" s="1"/>
      <c r="G50" s="1"/>
      <c r="H50" s="1"/>
      <c r="I50" s="1"/>
      <c r="J50" s="86"/>
      <c r="K50" s="86"/>
      <c r="L50" s="86"/>
      <c r="M50" s="86"/>
    </row>
    <row r="51" spans="1:13" x14ac:dyDescent="0.25">
      <c r="B51"/>
      <c r="C51" s="13" t="s">
        <v>407</v>
      </c>
      <c r="D51" s="13"/>
      <c r="E51" s="13"/>
      <c r="F51" s="1"/>
      <c r="G51" s="1"/>
      <c r="H51" s="1"/>
      <c r="I51" s="1"/>
      <c r="J51" s="86"/>
      <c r="K51" s="86"/>
      <c r="L51" s="86"/>
      <c r="M51" s="86"/>
    </row>
    <row r="52" spans="1:13" x14ac:dyDescent="0.25">
      <c r="B52"/>
      <c r="C52" s="12" t="s">
        <v>408</v>
      </c>
      <c r="D52" s="13"/>
      <c r="E52" s="13"/>
      <c r="F52"/>
      <c r="G52"/>
      <c r="H52"/>
      <c r="I52"/>
    </row>
    <row r="53" spans="1:13" x14ac:dyDescent="0.25">
      <c r="B53"/>
      <c r="C53"/>
      <c r="D53"/>
      <c r="E53"/>
      <c r="F53"/>
      <c r="G53"/>
      <c r="H53"/>
      <c r="I53"/>
    </row>
    <row r="57" spans="1:13" x14ac:dyDescent="0.25">
      <c r="A57" s="84" t="s">
        <v>20</v>
      </c>
      <c r="B57" s="84" t="s">
        <v>21</v>
      </c>
    </row>
    <row r="59" spans="1:13" x14ac:dyDescent="0.25">
      <c r="B59" s="13" t="s">
        <v>409</v>
      </c>
      <c r="C59" s="13"/>
      <c r="D59" s="13"/>
      <c r="E59" s="13"/>
      <c r="F59" s="13" t="s">
        <v>410</v>
      </c>
      <c r="G59" s="13"/>
      <c r="H59" s="13"/>
    </row>
    <row r="60" spans="1:13" x14ac:dyDescent="0.25">
      <c r="B60" s="13" t="s">
        <v>411</v>
      </c>
      <c r="C60" s="13"/>
      <c r="D60" s="13"/>
      <c r="E60" s="13"/>
      <c r="F60" s="13" t="s">
        <v>412</v>
      </c>
      <c r="G60" s="13"/>
      <c r="H60" s="13"/>
    </row>
    <row r="61" spans="1:13" x14ac:dyDescent="0.25">
      <c r="B61" s="13" t="s">
        <v>407</v>
      </c>
      <c r="C61" s="13"/>
      <c r="D61" s="13"/>
      <c r="E61" s="13"/>
      <c r="F61" s="13" t="s">
        <v>413</v>
      </c>
      <c r="G61" s="13"/>
      <c r="H61" s="13"/>
    </row>
    <row r="62" spans="1:13" x14ac:dyDescent="0.25">
      <c r="B62" s="13" t="s">
        <v>414</v>
      </c>
      <c r="C62" s="13"/>
      <c r="D62" s="13"/>
      <c r="E62" s="13"/>
      <c r="F62" s="13" t="s">
        <v>415</v>
      </c>
      <c r="G62" s="13"/>
      <c r="H62" s="13"/>
    </row>
    <row r="63" spans="1:13" x14ac:dyDescent="0.25">
      <c r="B63" s="12"/>
      <c r="C63" s="13"/>
      <c r="D63" s="13"/>
      <c r="E63" s="13"/>
      <c r="F63" s="13"/>
      <c r="G63" s="13"/>
      <c r="H63" s="13"/>
    </row>
    <row r="64" spans="1:13" x14ac:dyDescent="0.25">
      <c r="B64" s="13"/>
      <c r="C64" s="13"/>
      <c r="D64" s="13" t="s">
        <v>416</v>
      </c>
      <c r="E64" s="13"/>
      <c r="F64" s="13"/>
      <c r="G64" s="13"/>
      <c r="H64" s="13"/>
    </row>
    <row r="65" spans="1:13" x14ac:dyDescent="0.25">
      <c r="B65" s="14"/>
      <c r="C65" s="14"/>
      <c r="D65" s="14" t="s">
        <v>417</v>
      </c>
      <c r="E65" s="14"/>
      <c r="F65" s="14"/>
      <c r="G65" s="14"/>
      <c r="H65" s="14"/>
      <c r="I65" s="86"/>
      <c r="J65" s="86"/>
      <c r="K65" s="86"/>
      <c r="L65" s="86"/>
      <c r="M65" s="86"/>
    </row>
    <row r="66" spans="1:13" x14ac:dyDescent="0.25">
      <c r="B66" s="14"/>
      <c r="C66" s="14"/>
      <c r="D66" s="17" t="s">
        <v>418</v>
      </c>
      <c r="E66" s="14"/>
      <c r="F66" s="14"/>
      <c r="G66" s="14"/>
      <c r="H66" s="14"/>
      <c r="I66" s="86"/>
      <c r="J66" s="86"/>
      <c r="K66" s="86"/>
      <c r="L66" s="86"/>
      <c r="M66" s="86"/>
    </row>
    <row r="67" spans="1:13" x14ac:dyDescent="0.25">
      <c r="B67" s="14"/>
      <c r="C67" s="14"/>
      <c r="D67" s="17"/>
      <c r="E67" s="14"/>
      <c r="F67" s="14"/>
      <c r="G67" s="14"/>
      <c r="H67" s="14"/>
      <c r="I67" s="86"/>
      <c r="J67" s="86"/>
      <c r="K67" s="86"/>
      <c r="L67" s="86"/>
      <c r="M67" s="86"/>
    </row>
    <row r="68" spans="1:13" x14ac:dyDescent="0.25">
      <c r="A68" s="84" t="s">
        <v>22</v>
      </c>
      <c r="B68" s="84" t="s">
        <v>23</v>
      </c>
    </row>
    <row r="69" spans="1:13" ht="40.5" customHeight="1" x14ac:dyDescent="0.25">
      <c r="B69" s="459" t="s">
        <v>24</v>
      </c>
      <c r="C69" s="459"/>
      <c r="D69" s="459"/>
      <c r="E69" s="459"/>
      <c r="F69" s="459"/>
      <c r="G69" s="459"/>
      <c r="H69" s="459"/>
      <c r="I69" s="459"/>
      <c r="J69" s="459"/>
      <c r="K69" s="459"/>
      <c r="L69" s="86"/>
      <c r="M69" s="86"/>
    </row>
    <row r="70" spans="1:13" x14ac:dyDescent="0.25">
      <c r="B70" s="88"/>
      <c r="C70" s="88"/>
      <c r="D70" s="88"/>
      <c r="E70" s="88"/>
      <c r="F70" s="88"/>
      <c r="G70" s="88"/>
      <c r="H70" s="88"/>
      <c r="I70" s="88"/>
      <c r="J70" s="88"/>
      <c r="K70" s="88"/>
      <c r="L70" s="86"/>
      <c r="M70" s="86"/>
    </row>
    <row r="71" spans="1:13" x14ac:dyDescent="0.25">
      <c r="B71" s="13" t="s">
        <v>419</v>
      </c>
      <c r="C71" s="13"/>
      <c r="D71" s="13"/>
      <c r="E71" s="13"/>
      <c r="F71" s="2"/>
      <c r="G71" s="2"/>
      <c r="H71" s="2"/>
      <c r="I71" s="88"/>
      <c r="J71" s="88"/>
      <c r="K71" s="88"/>
      <c r="L71" s="86"/>
      <c r="M71" s="86"/>
    </row>
    <row r="72" spans="1:13" x14ac:dyDescent="0.25">
      <c r="B72" s="13" t="s">
        <v>420</v>
      </c>
      <c r="C72" s="13"/>
      <c r="D72" s="13"/>
      <c r="E72" s="13"/>
      <c r="F72"/>
      <c r="G72"/>
      <c r="H72"/>
    </row>
    <row r="73" spans="1:13" x14ac:dyDescent="0.25">
      <c r="B73" s="13" t="s">
        <v>421</v>
      </c>
      <c r="C73" s="13"/>
      <c r="D73" s="13"/>
      <c r="E73" s="13"/>
      <c r="F73"/>
      <c r="G73"/>
      <c r="H73"/>
    </row>
    <row r="74" spans="1:13" x14ac:dyDescent="0.25">
      <c r="B74" s="13" t="s">
        <v>422</v>
      </c>
      <c r="C74" s="13"/>
      <c r="D74" s="13"/>
      <c r="E74" s="13"/>
      <c r="F74"/>
      <c r="G74"/>
      <c r="H74"/>
    </row>
    <row r="75" spans="1:13" x14ac:dyDescent="0.25">
      <c r="B75" s="13" t="s">
        <v>423</v>
      </c>
      <c r="C75" s="13"/>
      <c r="D75" s="13"/>
      <c r="E75" s="13"/>
      <c r="F75"/>
      <c r="G75"/>
      <c r="H75"/>
    </row>
    <row r="76" spans="1:13" x14ac:dyDescent="0.25">
      <c r="B76" s="13" t="s">
        <v>424</v>
      </c>
      <c r="C76" s="13"/>
      <c r="D76" s="13"/>
      <c r="E76" s="13"/>
      <c r="F76"/>
      <c r="G76"/>
      <c r="H76"/>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row r="81" spans="2:13" x14ac:dyDescent="0.25">
      <c r="B81" s="86"/>
      <c r="C81" s="86"/>
      <c r="D81" s="86"/>
      <c r="E81" s="86"/>
      <c r="F81" s="86"/>
      <c r="G81" s="86"/>
      <c r="H81" s="86"/>
      <c r="I81" s="86"/>
      <c r="J81" s="86"/>
      <c r="K81" s="86"/>
      <c r="L81" s="86"/>
      <c r="M81" s="86"/>
    </row>
  </sheetData>
  <mergeCells count="3">
    <mergeCell ref="B69:K69"/>
    <mergeCell ref="A1:I1"/>
    <mergeCell ref="A3:K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BAF3F-8AF6-4CCB-80A0-431CA79E71B2}">
  <dimension ref="A1:M80"/>
  <sheetViews>
    <sheetView workbookViewId="0">
      <selection sqref="A1:XFD1048576"/>
    </sheetView>
  </sheetViews>
  <sheetFormatPr defaultRowHeight="15" x14ac:dyDescent="0.25"/>
  <sheetData>
    <row r="1" spans="1:13" ht="21" x14ac:dyDescent="0.35">
      <c r="A1" s="498" t="s">
        <v>1338</v>
      </c>
      <c r="B1" s="498"/>
      <c r="C1" s="498"/>
      <c r="D1" s="498"/>
      <c r="E1" s="498"/>
      <c r="F1" s="498"/>
      <c r="G1" s="498"/>
      <c r="H1" s="498"/>
      <c r="I1" s="498"/>
      <c r="J1" s="291"/>
      <c r="K1" s="291"/>
      <c r="L1" s="291"/>
      <c r="M1" s="291"/>
    </row>
    <row r="2" spans="1:13" ht="21" x14ac:dyDescent="0.35">
      <c r="A2" s="290"/>
      <c r="B2" s="290"/>
      <c r="C2" s="290"/>
      <c r="D2" s="290"/>
      <c r="E2" s="290"/>
      <c r="F2" s="290"/>
      <c r="G2" s="290"/>
      <c r="H2" s="290"/>
      <c r="I2" s="290"/>
      <c r="J2" s="291"/>
      <c r="K2" s="291"/>
      <c r="L2" s="291"/>
      <c r="M2" s="291"/>
    </row>
    <row r="3" spans="1:13" ht="14.45" customHeight="1" x14ac:dyDescent="0.25">
      <c r="A3" s="499" t="s">
        <v>1339</v>
      </c>
      <c r="B3" s="499"/>
      <c r="C3" s="499"/>
      <c r="D3" s="499"/>
      <c r="E3" s="499"/>
      <c r="F3" s="499"/>
      <c r="G3" s="499"/>
      <c r="H3" s="499"/>
      <c r="I3" s="499"/>
      <c r="J3" s="499"/>
      <c r="K3" s="499"/>
      <c r="L3" s="292"/>
      <c r="M3" s="292"/>
    </row>
    <row r="4" spans="1:13" x14ac:dyDescent="0.25">
      <c r="A4" s="499"/>
      <c r="B4" s="499"/>
      <c r="C4" s="499"/>
      <c r="D4" s="499"/>
      <c r="E4" s="499"/>
      <c r="F4" s="499"/>
      <c r="G4" s="499"/>
      <c r="H4" s="499"/>
      <c r="I4" s="499"/>
      <c r="J4" s="499"/>
      <c r="K4" s="499"/>
      <c r="L4" s="292"/>
      <c r="M4" s="292"/>
    </row>
    <row r="5" spans="1:13" x14ac:dyDescent="0.25">
      <c r="A5" s="499"/>
      <c r="B5" s="499"/>
      <c r="C5" s="499"/>
      <c r="D5" s="499"/>
      <c r="E5" s="499"/>
      <c r="F5" s="499"/>
      <c r="G5" s="499"/>
      <c r="H5" s="499"/>
      <c r="I5" s="499"/>
      <c r="J5" s="499"/>
      <c r="K5" s="499"/>
      <c r="L5" s="292"/>
      <c r="M5" s="292"/>
    </row>
    <row r="6" spans="1:13" x14ac:dyDescent="0.25">
      <c r="A6" s="499"/>
      <c r="B6" s="499"/>
      <c r="C6" s="499"/>
      <c r="D6" s="499"/>
      <c r="E6" s="499"/>
      <c r="F6" s="499"/>
      <c r="G6" s="499"/>
      <c r="H6" s="499"/>
      <c r="I6" s="499"/>
      <c r="J6" s="499"/>
      <c r="K6" s="499"/>
      <c r="L6" s="292"/>
      <c r="M6" s="292"/>
    </row>
    <row r="7" spans="1:13" x14ac:dyDescent="0.25">
      <c r="A7" s="291"/>
      <c r="B7" s="291"/>
      <c r="C7" s="291"/>
      <c r="D7" s="291"/>
      <c r="E7" s="291"/>
      <c r="F7" s="291"/>
      <c r="G7" s="291"/>
      <c r="H7" s="291"/>
      <c r="I7" s="291"/>
      <c r="J7" s="291"/>
      <c r="K7" s="291"/>
      <c r="L7" s="291"/>
      <c r="M7" s="291"/>
    </row>
    <row r="8" spans="1:13" x14ac:dyDescent="0.25">
      <c r="A8" s="291"/>
      <c r="B8" s="291"/>
      <c r="C8" s="291"/>
      <c r="D8" s="291"/>
      <c r="E8" s="291"/>
      <c r="F8" s="291"/>
      <c r="G8" s="291"/>
      <c r="H8" s="291"/>
      <c r="I8" s="291"/>
      <c r="J8" s="291"/>
      <c r="K8" s="291"/>
      <c r="L8" s="291"/>
      <c r="M8" s="291"/>
    </row>
    <row r="9" spans="1:13" x14ac:dyDescent="0.25">
      <c r="A9" s="291"/>
      <c r="B9" s="293" t="s">
        <v>2</v>
      </c>
      <c r="C9" s="293" t="s">
        <v>3</v>
      </c>
      <c r="D9" s="293"/>
      <c r="E9" s="293"/>
      <c r="F9" s="293"/>
      <c r="G9" s="293"/>
      <c r="H9" s="293"/>
      <c r="I9" s="291"/>
      <c r="J9" s="291"/>
      <c r="K9" s="291"/>
      <c r="L9" s="291"/>
      <c r="M9" s="291"/>
    </row>
    <row r="10" spans="1:13" x14ac:dyDescent="0.25">
      <c r="A10" s="291"/>
      <c r="B10" s="293"/>
      <c r="C10" s="293" t="s">
        <v>4</v>
      </c>
      <c r="D10" s="293"/>
      <c r="E10" s="293"/>
      <c r="F10" s="293"/>
      <c r="G10" s="293"/>
      <c r="H10" s="293"/>
      <c r="I10" s="291"/>
      <c r="J10" s="291"/>
      <c r="K10" s="291"/>
      <c r="L10" s="291"/>
      <c r="M10" s="291"/>
    </row>
    <row r="11" spans="1:13" x14ac:dyDescent="0.25">
      <c r="A11" s="291"/>
      <c r="B11" s="293" t="s">
        <v>5</v>
      </c>
      <c r="C11" s="293" t="s">
        <v>6</v>
      </c>
      <c r="D11" s="293"/>
      <c r="E11" s="293"/>
      <c r="F11" s="293"/>
      <c r="G11" s="293"/>
      <c r="H11" s="293"/>
      <c r="I11" s="291"/>
      <c r="J11" s="291"/>
      <c r="K11" s="291"/>
      <c r="L11" s="291"/>
      <c r="M11" s="291"/>
    </row>
    <row r="12" spans="1:13" x14ac:dyDescent="0.25">
      <c r="A12" s="291"/>
      <c r="B12" s="293"/>
      <c r="C12" s="293" t="s">
        <v>7</v>
      </c>
      <c r="D12" s="293"/>
      <c r="E12" s="293"/>
      <c r="F12" s="293"/>
      <c r="G12" s="293"/>
      <c r="H12" s="293"/>
      <c r="I12" s="291"/>
      <c r="J12" s="291"/>
      <c r="K12" s="291"/>
      <c r="L12" s="291"/>
      <c r="M12" s="291"/>
    </row>
    <row r="13" spans="1:13" x14ac:dyDescent="0.25">
      <c r="A13" s="291"/>
      <c r="B13" s="293"/>
      <c r="C13" s="293" t="s">
        <v>8</v>
      </c>
      <c r="D13" s="293"/>
      <c r="E13" s="293"/>
      <c r="F13" s="293"/>
      <c r="G13" s="293"/>
      <c r="H13" s="293"/>
      <c r="I13" s="291"/>
      <c r="J13" s="291"/>
      <c r="K13" s="291"/>
      <c r="L13" s="291"/>
      <c r="M13" s="291"/>
    </row>
    <row r="14" spans="1:13" x14ac:dyDescent="0.25">
      <c r="A14" s="291"/>
      <c r="B14" s="293"/>
      <c r="C14" s="293" t="s">
        <v>9</v>
      </c>
      <c r="D14" s="293"/>
      <c r="E14" s="293"/>
      <c r="F14" s="293"/>
      <c r="G14" s="293"/>
      <c r="H14" s="293"/>
      <c r="I14" s="291"/>
      <c r="J14" s="291"/>
      <c r="K14" s="291"/>
      <c r="L14" s="291"/>
      <c r="M14" s="291"/>
    </row>
    <row r="15" spans="1:13" x14ac:dyDescent="0.25">
      <c r="A15" s="291"/>
      <c r="B15" s="291"/>
      <c r="C15" s="291"/>
      <c r="D15" s="291"/>
      <c r="E15" s="291"/>
      <c r="F15" s="291"/>
      <c r="G15" s="291"/>
      <c r="H15" s="291"/>
      <c r="I15" s="291"/>
      <c r="J15" s="291"/>
      <c r="K15" s="291"/>
      <c r="L15" s="291"/>
      <c r="M15" s="291"/>
    </row>
    <row r="16" spans="1:13" x14ac:dyDescent="0.25">
      <c r="A16" s="291"/>
      <c r="B16" s="291"/>
      <c r="C16" s="291"/>
      <c r="D16" s="291"/>
      <c r="E16" s="291"/>
      <c r="F16" s="291"/>
      <c r="G16" s="291"/>
      <c r="H16" s="291"/>
      <c r="I16" s="291"/>
      <c r="J16" s="291"/>
      <c r="K16" s="291"/>
      <c r="L16" s="291"/>
      <c r="M16" s="291"/>
    </row>
    <row r="17" spans="1:13" x14ac:dyDescent="0.25">
      <c r="A17" s="291" t="s">
        <v>10</v>
      </c>
      <c r="B17" s="291" t="s">
        <v>11</v>
      </c>
      <c r="C17" s="291"/>
      <c r="D17" s="291"/>
      <c r="E17" s="291"/>
      <c r="F17" s="291"/>
      <c r="G17" s="291"/>
      <c r="H17" s="291"/>
      <c r="I17" s="291"/>
      <c r="J17" s="291"/>
      <c r="K17" s="291"/>
      <c r="L17" s="291"/>
      <c r="M17" s="291"/>
    </row>
    <row r="18" spans="1:13" x14ac:dyDescent="0.25">
      <c r="A18" s="291"/>
      <c r="B18" s="497" t="s">
        <v>1340</v>
      </c>
      <c r="C18" s="497"/>
      <c r="D18" s="497"/>
      <c r="E18" s="497"/>
      <c r="F18" s="497"/>
      <c r="G18" s="291"/>
      <c r="H18" s="291"/>
      <c r="I18" s="291"/>
      <c r="J18" s="291"/>
      <c r="K18" s="291"/>
      <c r="L18" s="291"/>
      <c r="M18" s="291"/>
    </row>
    <row r="19" spans="1:13" x14ac:dyDescent="0.25">
      <c r="A19" s="291"/>
      <c r="B19" s="496" t="s">
        <v>179</v>
      </c>
      <c r="C19" s="496"/>
      <c r="D19" s="291"/>
      <c r="E19" s="294">
        <v>1760</v>
      </c>
      <c r="F19" s="291"/>
      <c r="G19" s="291"/>
      <c r="H19" s="291"/>
      <c r="I19" s="291"/>
      <c r="J19" s="291"/>
      <c r="K19" s="291"/>
      <c r="L19" s="291"/>
      <c r="M19" s="291"/>
    </row>
    <row r="20" spans="1:13" x14ac:dyDescent="0.25">
      <c r="A20" s="291"/>
      <c r="B20" s="496" t="s">
        <v>1341</v>
      </c>
      <c r="C20" s="496"/>
      <c r="D20" s="496"/>
      <c r="E20" s="291">
        <v>1.695E-2</v>
      </c>
      <c r="F20" s="291"/>
      <c r="G20" s="291"/>
      <c r="H20" s="291"/>
      <c r="I20" s="291"/>
      <c r="J20" s="291"/>
      <c r="K20" s="291"/>
      <c r="L20" s="291"/>
      <c r="M20" s="291"/>
    </row>
    <row r="21" spans="1:13" x14ac:dyDescent="0.25">
      <c r="A21" s="291"/>
      <c r="B21" s="291" t="s">
        <v>1342</v>
      </c>
      <c r="C21" s="291"/>
      <c r="D21" s="291"/>
      <c r="E21" s="295">
        <v>29.83</v>
      </c>
      <c r="F21" s="291"/>
      <c r="G21" s="291"/>
      <c r="H21" s="291"/>
      <c r="I21" s="291"/>
      <c r="J21" s="291"/>
      <c r="K21" s="291"/>
      <c r="L21" s="291"/>
      <c r="M21" s="291"/>
    </row>
    <row r="22" spans="1:13" x14ac:dyDescent="0.25">
      <c r="A22" s="291"/>
      <c r="B22" s="291"/>
      <c r="C22" s="291"/>
      <c r="D22" s="291"/>
      <c r="E22" s="291"/>
      <c r="F22" s="291"/>
      <c r="G22" s="291"/>
      <c r="H22" s="291"/>
      <c r="I22" s="291"/>
      <c r="J22" s="291"/>
      <c r="K22" s="291"/>
      <c r="L22" s="291"/>
      <c r="M22" s="291"/>
    </row>
    <row r="23" spans="1:13" x14ac:dyDescent="0.25">
      <c r="A23" s="291"/>
      <c r="B23" s="291"/>
      <c r="C23" s="291"/>
      <c r="D23" s="291"/>
      <c r="E23" s="291"/>
      <c r="F23" s="291"/>
      <c r="G23" s="291"/>
      <c r="H23" s="291"/>
      <c r="I23" s="291"/>
      <c r="J23" s="291"/>
      <c r="K23" s="291"/>
      <c r="L23" s="291"/>
      <c r="M23" s="291"/>
    </row>
    <row r="24" spans="1:13" x14ac:dyDescent="0.25">
      <c r="A24" s="291"/>
      <c r="B24" s="291"/>
      <c r="C24" s="291"/>
      <c r="D24" s="291"/>
      <c r="E24" s="291"/>
      <c r="F24" s="291"/>
      <c r="G24" s="291"/>
      <c r="H24" s="291"/>
      <c r="I24" s="291"/>
      <c r="J24" s="291"/>
      <c r="K24" s="291"/>
      <c r="L24" s="291"/>
      <c r="M24" s="291"/>
    </row>
    <row r="25" spans="1:13" x14ac:dyDescent="0.25">
      <c r="A25" s="291"/>
      <c r="B25" s="291"/>
      <c r="C25" s="291"/>
      <c r="D25" s="291"/>
      <c r="E25" s="291"/>
      <c r="F25" s="291"/>
      <c r="G25" s="291"/>
      <c r="H25" s="291"/>
      <c r="I25" s="291"/>
      <c r="J25" s="291"/>
      <c r="K25" s="291"/>
      <c r="L25" s="291"/>
      <c r="M25" s="291"/>
    </row>
    <row r="26" spans="1:13" x14ac:dyDescent="0.25">
      <c r="A26" s="291"/>
      <c r="B26" s="291"/>
      <c r="C26" s="291"/>
      <c r="D26" s="291"/>
      <c r="E26" s="291"/>
      <c r="F26" s="291"/>
      <c r="G26" s="291"/>
      <c r="H26" s="291"/>
      <c r="I26" s="291"/>
      <c r="J26" s="291"/>
      <c r="K26" s="291"/>
      <c r="L26" s="291"/>
      <c r="M26" s="291"/>
    </row>
    <row r="27" spans="1:13" x14ac:dyDescent="0.25">
      <c r="A27" s="291" t="s">
        <v>12</v>
      </c>
      <c r="B27" s="291" t="s">
        <v>13</v>
      </c>
      <c r="C27" s="291"/>
      <c r="D27" s="291"/>
      <c r="E27" s="291"/>
      <c r="F27" s="291"/>
      <c r="G27" s="291"/>
      <c r="H27" s="291"/>
      <c r="I27" s="291"/>
      <c r="J27" s="291"/>
      <c r="K27" s="291"/>
      <c r="L27" s="291"/>
      <c r="M27" s="291"/>
    </row>
    <row r="28" spans="1:13" x14ac:dyDescent="0.25">
      <c r="A28" s="291"/>
      <c r="B28" s="497" t="s">
        <v>1340</v>
      </c>
      <c r="C28" s="497"/>
      <c r="D28" s="497"/>
      <c r="E28" s="497"/>
      <c r="F28" s="497"/>
      <c r="G28" s="291"/>
      <c r="H28" s="291"/>
      <c r="I28" s="291"/>
      <c r="J28" s="291"/>
      <c r="K28" s="291"/>
      <c r="L28" s="291"/>
      <c r="M28" s="291"/>
    </row>
    <row r="29" spans="1:13" x14ac:dyDescent="0.25">
      <c r="A29" s="291"/>
      <c r="B29" s="496" t="s">
        <v>179</v>
      </c>
      <c r="C29" s="496"/>
      <c r="D29" s="291"/>
      <c r="E29" s="294">
        <v>1760</v>
      </c>
      <c r="F29" s="291"/>
      <c r="G29" s="291"/>
      <c r="H29" s="291"/>
      <c r="I29" s="291"/>
      <c r="J29" s="291"/>
      <c r="K29" s="291"/>
      <c r="L29" s="291"/>
      <c r="M29" s="291"/>
    </row>
    <row r="30" spans="1:13" x14ac:dyDescent="0.25">
      <c r="A30" s="291"/>
      <c r="B30" s="496" t="s">
        <v>1341</v>
      </c>
      <c r="C30" s="496"/>
      <c r="D30" s="496"/>
      <c r="E30" s="291">
        <v>1.695E-2</v>
      </c>
      <c r="F30" s="291"/>
      <c r="G30" s="291"/>
      <c r="H30" s="291"/>
      <c r="I30" s="291"/>
      <c r="J30" s="291"/>
      <c r="K30" s="291"/>
      <c r="L30" s="291"/>
      <c r="M30" s="291"/>
    </row>
    <row r="31" spans="1:13" x14ac:dyDescent="0.25">
      <c r="A31" s="291"/>
      <c r="B31" s="291" t="s">
        <v>1342</v>
      </c>
      <c r="C31" s="291"/>
      <c r="D31" s="291"/>
      <c r="E31" s="295">
        <v>29.83</v>
      </c>
      <c r="F31" s="291"/>
      <c r="G31" s="291"/>
      <c r="H31" s="291"/>
      <c r="I31" s="291"/>
      <c r="J31" s="291"/>
      <c r="K31" s="291"/>
      <c r="L31" s="291"/>
      <c r="M31" s="291"/>
    </row>
    <row r="32" spans="1:13" x14ac:dyDescent="0.25">
      <c r="A32" s="291"/>
      <c r="B32" s="291"/>
      <c r="C32" s="291"/>
      <c r="D32" s="291"/>
      <c r="E32" s="291"/>
      <c r="F32" s="291"/>
      <c r="G32" s="291"/>
      <c r="H32" s="291"/>
      <c r="I32" s="291"/>
      <c r="J32" s="291"/>
      <c r="K32" s="291"/>
      <c r="L32" s="291"/>
      <c r="M32" s="291"/>
    </row>
    <row r="33" spans="1:13" x14ac:dyDescent="0.25">
      <c r="A33" s="291"/>
      <c r="B33" s="291"/>
      <c r="C33" s="291"/>
      <c r="D33" s="291"/>
      <c r="E33" s="291"/>
      <c r="F33" s="291"/>
      <c r="G33" s="291"/>
      <c r="H33" s="291"/>
      <c r="I33" s="291"/>
      <c r="J33" s="291"/>
      <c r="K33" s="291"/>
      <c r="L33" s="291"/>
      <c r="M33" s="291"/>
    </row>
    <row r="34" spans="1:13" x14ac:dyDescent="0.25">
      <c r="A34" s="291"/>
      <c r="B34" s="291"/>
      <c r="C34" s="291"/>
      <c r="D34" s="291"/>
      <c r="E34" s="291"/>
      <c r="F34" s="291"/>
      <c r="G34" s="291"/>
      <c r="H34" s="291"/>
      <c r="I34" s="291"/>
      <c r="J34" s="291"/>
      <c r="K34" s="291"/>
      <c r="L34" s="291"/>
      <c r="M34" s="291"/>
    </row>
    <row r="35" spans="1:13" x14ac:dyDescent="0.25">
      <c r="A35" s="291"/>
      <c r="B35" s="291"/>
      <c r="C35" s="291"/>
      <c r="D35" s="291"/>
      <c r="E35" s="291"/>
      <c r="F35" s="291"/>
      <c r="G35" s="291"/>
      <c r="H35" s="291"/>
      <c r="I35" s="291"/>
      <c r="J35" s="291"/>
      <c r="K35" s="291"/>
      <c r="L35" s="291"/>
      <c r="M35" s="291"/>
    </row>
    <row r="36" spans="1:13" x14ac:dyDescent="0.25">
      <c r="A36" s="291"/>
      <c r="B36" s="291"/>
      <c r="C36" s="291"/>
      <c r="D36" s="291"/>
      <c r="E36" s="291"/>
      <c r="F36" s="291"/>
      <c r="G36" s="291"/>
      <c r="H36" s="291"/>
      <c r="I36" s="291"/>
      <c r="J36" s="291"/>
      <c r="K36" s="291"/>
      <c r="L36" s="291"/>
      <c r="M36" s="291"/>
    </row>
    <row r="37" spans="1:13" x14ac:dyDescent="0.25">
      <c r="A37" s="291" t="s">
        <v>15</v>
      </c>
      <c r="B37" s="291" t="s">
        <v>16</v>
      </c>
      <c r="C37" s="291"/>
      <c r="D37" s="291"/>
      <c r="E37" s="291"/>
      <c r="F37" s="291"/>
      <c r="G37" s="291"/>
      <c r="H37" s="291"/>
      <c r="I37" s="291"/>
      <c r="J37" s="291"/>
      <c r="K37" s="291"/>
      <c r="L37" s="291"/>
      <c r="M37" s="291"/>
    </row>
    <row r="38" spans="1:13" x14ac:dyDescent="0.25">
      <c r="A38" s="291"/>
      <c r="B38" s="496" t="s">
        <v>1343</v>
      </c>
      <c r="C38" s="496"/>
      <c r="D38" s="496"/>
      <c r="E38" s="496"/>
      <c r="F38" s="496"/>
      <c r="G38" s="496"/>
      <c r="H38" s="496"/>
      <c r="I38" s="291"/>
      <c r="J38" s="291"/>
      <c r="K38" s="291"/>
      <c r="L38" s="291"/>
      <c r="M38" s="291"/>
    </row>
    <row r="39" spans="1:13" x14ac:dyDescent="0.25">
      <c r="A39" s="291"/>
      <c r="B39" s="291" t="s">
        <v>179</v>
      </c>
      <c r="C39" s="291"/>
      <c r="D39" s="291"/>
      <c r="E39" s="291"/>
      <c r="F39" s="291"/>
      <c r="G39" s="294">
        <v>1760</v>
      </c>
      <c r="H39" s="291"/>
      <c r="I39" s="291"/>
      <c r="J39" s="291"/>
      <c r="K39" s="291"/>
      <c r="L39" s="291"/>
      <c r="M39" s="291"/>
    </row>
    <row r="40" spans="1:13" x14ac:dyDescent="0.25">
      <c r="A40" s="291"/>
      <c r="B40" s="496" t="s">
        <v>1341</v>
      </c>
      <c r="C40" s="496"/>
      <c r="D40" s="496"/>
      <c r="E40" s="291"/>
      <c r="F40" s="291"/>
      <c r="G40" s="291">
        <v>1.695E-2</v>
      </c>
      <c r="H40" s="291"/>
      <c r="I40" s="291"/>
      <c r="J40" s="291"/>
      <c r="K40" s="291"/>
      <c r="L40" s="291"/>
      <c r="M40" s="291"/>
    </row>
    <row r="41" spans="1:13" x14ac:dyDescent="0.25">
      <c r="A41" s="291"/>
      <c r="B41" s="291" t="s">
        <v>201</v>
      </c>
      <c r="C41" s="291"/>
      <c r="D41" s="291"/>
      <c r="E41" s="291"/>
      <c r="F41" s="291"/>
      <c r="G41" s="295">
        <v>29.83</v>
      </c>
      <c r="H41" s="291"/>
      <c r="I41" s="291"/>
      <c r="J41" s="291"/>
      <c r="K41" s="291"/>
      <c r="L41" s="291"/>
      <c r="M41" s="291"/>
    </row>
    <row r="42" spans="1:13" x14ac:dyDescent="0.25">
      <c r="A42" s="291"/>
      <c r="B42" s="496" t="s">
        <v>1344</v>
      </c>
      <c r="C42" s="496"/>
      <c r="D42" s="496"/>
      <c r="E42" s="291"/>
      <c r="F42" s="291"/>
      <c r="G42" s="295">
        <v>9.9499999999999993</v>
      </c>
      <c r="H42" s="291"/>
      <c r="I42" s="291"/>
      <c r="J42" s="291"/>
      <c r="K42" s="291"/>
      <c r="L42" s="291"/>
      <c r="M42" s="291"/>
    </row>
    <row r="43" spans="1:13" x14ac:dyDescent="0.25">
      <c r="A43" s="291"/>
      <c r="B43" s="496" t="s">
        <v>1345</v>
      </c>
      <c r="C43" s="496"/>
      <c r="D43" s="496"/>
      <c r="E43" s="291"/>
      <c r="F43" s="291"/>
      <c r="G43" s="295">
        <v>19.88</v>
      </c>
      <c r="H43" s="291"/>
      <c r="I43" s="291"/>
      <c r="J43" s="291"/>
      <c r="K43" s="291"/>
      <c r="L43" s="291"/>
      <c r="M43" s="291"/>
    </row>
    <row r="44" spans="1:13" x14ac:dyDescent="0.25">
      <c r="A44" s="291"/>
      <c r="B44" s="496" t="s">
        <v>1346</v>
      </c>
      <c r="C44" s="496"/>
      <c r="D44" s="496"/>
      <c r="E44" s="496"/>
      <c r="F44" s="496"/>
      <c r="G44" s="295">
        <v>22.37</v>
      </c>
      <c r="H44" s="291"/>
      <c r="I44" s="291"/>
      <c r="J44" s="291"/>
      <c r="K44" s="291"/>
      <c r="L44" s="291"/>
      <c r="M44" s="291"/>
    </row>
    <row r="45" spans="1:13" x14ac:dyDescent="0.25">
      <c r="A45" s="291"/>
      <c r="B45" s="496" t="s">
        <v>1347</v>
      </c>
      <c r="C45" s="496"/>
      <c r="D45" s="496"/>
      <c r="E45" s="291"/>
      <c r="F45" s="291"/>
      <c r="G45" s="295">
        <v>2.4900000000000002</v>
      </c>
      <c r="H45" s="291"/>
      <c r="I45" s="291"/>
      <c r="J45" s="291"/>
      <c r="K45" s="291"/>
      <c r="L45" s="291"/>
      <c r="M45" s="291"/>
    </row>
    <row r="46" spans="1:13" x14ac:dyDescent="0.25">
      <c r="A46" s="291"/>
      <c r="B46" s="291"/>
      <c r="C46" s="291"/>
      <c r="D46" s="291"/>
      <c r="E46" s="291"/>
      <c r="F46" s="291"/>
      <c r="G46" s="291"/>
      <c r="H46" s="291"/>
      <c r="I46" s="291"/>
      <c r="J46" s="291"/>
      <c r="K46" s="291"/>
      <c r="L46" s="291"/>
      <c r="M46" s="291"/>
    </row>
    <row r="47" spans="1:13" x14ac:dyDescent="0.25">
      <c r="A47" s="291" t="s">
        <v>17</v>
      </c>
      <c r="B47" s="291" t="s">
        <v>18</v>
      </c>
      <c r="C47" s="291"/>
      <c r="D47" s="291"/>
      <c r="E47" s="291"/>
      <c r="F47" s="291"/>
      <c r="G47" s="291"/>
      <c r="H47" s="291"/>
      <c r="I47" s="291"/>
      <c r="J47" s="291"/>
      <c r="K47" s="291"/>
      <c r="L47" s="291"/>
      <c r="M47" s="291"/>
    </row>
    <row r="48" spans="1:13" x14ac:dyDescent="0.25">
      <c r="A48" s="291"/>
      <c r="B48" s="496" t="s">
        <v>1348</v>
      </c>
      <c r="C48" s="496"/>
      <c r="D48" s="496"/>
      <c r="E48" s="496"/>
      <c r="F48" s="496"/>
      <c r="G48" s="496"/>
      <c r="H48" s="496"/>
      <c r="I48" s="291"/>
      <c r="J48" s="291"/>
      <c r="K48" s="291"/>
      <c r="L48" s="291"/>
      <c r="M48" s="291"/>
    </row>
    <row r="49" spans="1:13" x14ac:dyDescent="0.25">
      <c r="A49" s="291"/>
      <c r="B49" s="291" t="s">
        <v>179</v>
      </c>
      <c r="C49" s="291"/>
      <c r="D49" s="291"/>
      <c r="E49" s="291"/>
      <c r="F49" s="291"/>
      <c r="G49" s="294">
        <v>1595</v>
      </c>
      <c r="H49" s="291"/>
      <c r="I49" s="293"/>
      <c r="J49" s="293"/>
      <c r="K49" s="293"/>
      <c r="L49" s="293"/>
      <c r="M49" s="293"/>
    </row>
    <row r="50" spans="1:13" x14ac:dyDescent="0.25">
      <c r="A50" s="291"/>
      <c r="B50" s="496" t="s">
        <v>1341</v>
      </c>
      <c r="C50" s="496"/>
      <c r="D50" s="496"/>
      <c r="E50" s="291"/>
      <c r="F50" s="291"/>
      <c r="G50" s="291">
        <v>1.695E-2</v>
      </c>
      <c r="H50" s="291"/>
      <c r="I50" s="293"/>
      <c r="J50" s="293"/>
      <c r="K50" s="293"/>
      <c r="L50" s="293"/>
      <c r="M50" s="293"/>
    </row>
    <row r="51" spans="1:13" x14ac:dyDescent="0.25">
      <c r="A51" s="291"/>
      <c r="B51" s="291" t="s">
        <v>179</v>
      </c>
      <c r="C51" s="291"/>
      <c r="D51" s="291"/>
      <c r="E51" s="291"/>
      <c r="F51" s="291"/>
      <c r="G51" s="295">
        <v>27.04</v>
      </c>
      <c r="H51" s="291"/>
      <c r="I51" s="293"/>
      <c r="J51" s="293"/>
      <c r="K51" s="293"/>
      <c r="L51" s="293"/>
      <c r="M51" s="293"/>
    </row>
    <row r="52" spans="1:13" x14ac:dyDescent="0.25">
      <c r="A52" s="291"/>
      <c r="B52" s="496" t="s">
        <v>1349</v>
      </c>
      <c r="C52" s="496"/>
      <c r="D52" s="496"/>
      <c r="E52" s="291"/>
      <c r="F52" s="291"/>
      <c r="G52" s="291">
        <v>0.58299999999999996</v>
      </c>
      <c r="H52" s="291"/>
      <c r="I52" s="291"/>
      <c r="J52" s="291"/>
      <c r="K52" s="291"/>
      <c r="L52" s="291"/>
      <c r="M52" s="291"/>
    </row>
    <row r="53" spans="1:13" x14ac:dyDescent="0.25">
      <c r="A53" s="291"/>
      <c r="B53" s="291" t="s">
        <v>1342</v>
      </c>
      <c r="C53" s="291"/>
      <c r="D53" s="291"/>
      <c r="E53" s="291"/>
      <c r="F53" s="291"/>
      <c r="G53" s="295">
        <v>15.76</v>
      </c>
      <c r="H53" s="291"/>
      <c r="I53" s="291"/>
      <c r="J53" s="291"/>
      <c r="K53" s="291"/>
      <c r="L53" s="291"/>
      <c r="M53" s="291"/>
    </row>
    <row r="54" spans="1:13" x14ac:dyDescent="0.25">
      <c r="A54" s="291"/>
      <c r="B54" s="291"/>
      <c r="C54" s="291"/>
      <c r="D54" s="291"/>
      <c r="E54" s="291"/>
      <c r="F54" s="291"/>
      <c r="G54" s="291"/>
      <c r="H54" s="291"/>
      <c r="I54" s="291"/>
      <c r="J54" s="291"/>
      <c r="K54" s="291"/>
      <c r="L54" s="291"/>
      <c r="M54" s="291"/>
    </row>
    <row r="55" spans="1:13" x14ac:dyDescent="0.25">
      <c r="A55" s="291"/>
      <c r="B55" s="291"/>
      <c r="C55" s="291"/>
      <c r="D55" s="291"/>
      <c r="E55" s="291"/>
      <c r="F55" s="291"/>
      <c r="G55" s="291"/>
      <c r="H55" s="291"/>
      <c r="I55" s="291"/>
      <c r="J55" s="291"/>
      <c r="K55" s="291"/>
      <c r="L55" s="291"/>
      <c r="M55" s="291"/>
    </row>
    <row r="56" spans="1:13" x14ac:dyDescent="0.25">
      <c r="A56" s="291"/>
      <c r="B56" s="291"/>
      <c r="C56" s="291"/>
      <c r="D56" s="291"/>
      <c r="E56" s="291"/>
      <c r="F56" s="291"/>
      <c r="G56" s="291"/>
      <c r="H56" s="291"/>
      <c r="I56" s="291"/>
      <c r="J56" s="291"/>
      <c r="K56" s="291"/>
      <c r="L56" s="291"/>
      <c r="M56" s="291"/>
    </row>
    <row r="57" spans="1:13" x14ac:dyDescent="0.25">
      <c r="A57" s="291" t="s">
        <v>20</v>
      </c>
      <c r="B57" s="291" t="s">
        <v>21</v>
      </c>
      <c r="C57" s="291"/>
      <c r="D57" s="291"/>
      <c r="E57" s="291"/>
      <c r="F57" s="291"/>
      <c r="G57" s="291"/>
      <c r="H57" s="291"/>
      <c r="I57" s="291"/>
      <c r="J57" s="291"/>
      <c r="K57" s="291"/>
      <c r="L57" s="291"/>
      <c r="M57" s="291"/>
    </row>
    <row r="58" spans="1:13" x14ac:dyDescent="0.25">
      <c r="A58" s="291"/>
      <c r="B58" s="496" t="s">
        <v>1350</v>
      </c>
      <c r="C58" s="496"/>
      <c r="D58" s="496"/>
      <c r="E58" s="496"/>
      <c r="F58" s="496"/>
      <c r="G58" s="496"/>
      <c r="H58" s="496"/>
      <c r="I58" s="291"/>
      <c r="J58" s="291"/>
      <c r="K58" s="291"/>
      <c r="L58" s="291"/>
      <c r="M58" s="291"/>
    </row>
    <row r="59" spans="1:13" x14ac:dyDescent="0.25">
      <c r="A59" s="291"/>
      <c r="B59" s="496" t="s">
        <v>1351</v>
      </c>
      <c r="C59" s="496"/>
      <c r="D59" s="496"/>
      <c r="E59" s="496"/>
      <c r="F59" s="496"/>
      <c r="G59" s="496"/>
      <c r="H59" s="496"/>
      <c r="I59" s="294">
        <v>1760</v>
      </c>
      <c r="J59" s="291"/>
      <c r="K59" s="291"/>
      <c r="L59" s="291"/>
      <c r="M59" s="291"/>
    </row>
    <row r="60" spans="1:13" x14ac:dyDescent="0.25">
      <c r="A60" s="291"/>
      <c r="B60" s="496" t="s">
        <v>1352</v>
      </c>
      <c r="C60" s="496"/>
      <c r="D60" s="496"/>
      <c r="E60" s="496"/>
      <c r="F60" s="496"/>
      <c r="G60" s="496"/>
      <c r="H60" s="496"/>
      <c r="I60" s="294">
        <v>1595</v>
      </c>
      <c r="J60" s="291"/>
      <c r="K60" s="291"/>
      <c r="L60" s="291"/>
      <c r="M60" s="291"/>
    </row>
    <row r="61" spans="1:13" x14ac:dyDescent="0.25">
      <c r="A61" s="291"/>
      <c r="B61" s="496" t="s">
        <v>1353</v>
      </c>
      <c r="C61" s="496"/>
      <c r="D61" s="496"/>
      <c r="E61" s="291"/>
      <c r="F61" s="291"/>
      <c r="G61" s="291"/>
      <c r="H61" s="291"/>
      <c r="I61" s="294">
        <v>165</v>
      </c>
      <c r="J61" s="291"/>
      <c r="K61" s="291"/>
      <c r="L61" s="291"/>
      <c r="M61" s="291"/>
    </row>
    <row r="62" spans="1:13" x14ac:dyDescent="0.25">
      <c r="A62" s="291"/>
      <c r="B62" s="496" t="s">
        <v>1341</v>
      </c>
      <c r="C62" s="496"/>
      <c r="D62" s="496"/>
      <c r="E62" s="291"/>
      <c r="F62" s="291"/>
      <c r="G62" s="291"/>
      <c r="H62" s="291"/>
      <c r="I62" s="291">
        <v>1.695E-2</v>
      </c>
      <c r="J62" s="291"/>
      <c r="K62" s="291"/>
      <c r="L62" s="291"/>
      <c r="M62" s="291"/>
    </row>
    <row r="63" spans="1:13" x14ac:dyDescent="0.25">
      <c r="A63" s="291"/>
      <c r="B63" s="496" t="s">
        <v>1354</v>
      </c>
      <c r="C63" s="496"/>
      <c r="D63" s="496"/>
      <c r="E63" s="291"/>
      <c r="F63" s="291"/>
      <c r="G63" s="291"/>
      <c r="H63" s="291"/>
      <c r="I63" s="295">
        <v>1.39</v>
      </c>
      <c r="J63" s="291"/>
      <c r="K63" s="291"/>
      <c r="L63" s="291"/>
      <c r="M63" s="291"/>
    </row>
    <row r="64" spans="1:13" x14ac:dyDescent="0.25">
      <c r="A64" s="291"/>
      <c r="B64" s="291"/>
      <c r="C64" s="291"/>
      <c r="D64" s="291"/>
      <c r="E64" s="291"/>
      <c r="F64" s="291"/>
      <c r="G64" s="291"/>
      <c r="H64" s="291"/>
      <c r="I64" s="291"/>
      <c r="J64" s="291"/>
      <c r="K64" s="291"/>
      <c r="L64" s="291"/>
      <c r="M64" s="291"/>
    </row>
    <row r="65" spans="1:13" x14ac:dyDescent="0.25">
      <c r="A65" s="291"/>
      <c r="B65" s="293"/>
      <c r="C65" s="293"/>
      <c r="D65" s="293"/>
      <c r="E65" s="293"/>
      <c r="F65" s="293"/>
      <c r="G65" s="293"/>
      <c r="H65" s="293"/>
      <c r="I65" s="293"/>
      <c r="J65" s="293"/>
      <c r="K65" s="293"/>
      <c r="L65" s="293"/>
      <c r="M65" s="293"/>
    </row>
    <row r="66" spans="1:13" x14ac:dyDescent="0.25">
      <c r="A66" s="291"/>
      <c r="B66" s="293"/>
      <c r="C66" s="293"/>
      <c r="D66" s="293"/>
      <c r="E66" s="293"/>
      <c r="F66" s="293"/>
      <c r="G66" s="293"/>
      <c r="H66" s="293"/>
      <c r="I66" s="293"/>
      <c r="J66" s="293"/>
      <c r="K66" s="293"/>
      <c r="L66" s="293"/>
      <c r="M66" s="293"/>
    </row>
    <row r="67" spans="1:13" x14ac:dyDescent="0.25">
      <c r="A67" s="291" t="s">
        <v>22</v>
      </c>
      <c r="B67" s="291" t="s">
        <v>23</v>
      </c>
      <c r="C67" s="291"/>
      <c r="D67" s="291"/>
      <c r="E67" s="291"/>
      <c r="F67" s="291"/>
      <c r="G67" s="291"/>
      <c r="H67" s="291"/>
      <c r="I67" s="291"/>
      <c r="J67" s="291"/>
      <c r="K67" s="291"/>
      <c r="L67" s="291"/>
      <c r="M67" s="291"/>
    </row>
    <row r="68" spans="1:13" ht="39" customHeight="1" x14ac:dyDescent="0.25">
      <c r="A68" s="291"/>
      <c r="B68" s="500" t="s">
        <v>24</v>
      </c>
      <c r="C68" s="500"/>
      <c r="D68" s="500"/>
      <c r="E68" s="500"/>
      <c r="F68" s="500"/>
      <c r="G68" s="500"/>
      <c r="H68" s="500"/>
      <c r="I68" s="500"/>
      <c r="J68" s="500"/>
      <c r="K68" s="500"/>
      <c r="L68" s="293"/>
      <c r="M68" s="293"/>
    </row>
    <row r="69" spans="1:13" x14ac:dyDescent="0.25">
      <c r="A69" s="291"/>
      <c r="B69" s="296" t="s">
        <v>1355</v>
      </c>
      <c r="C69" s="297"/>
      <c r="D69" s="297"/>
      <c r="E69" s="297"/>
      <c r="F69" s="297"/>
      <c r="G69" s="297"/>
      <c r="H69" s="297"/>
      <c r="I69" s="297"/>
      <c r="J69" s="297"/>
      <c r="K69" s="297"/>
      <c r="L69" s="293"/>
      <c r="M69" s="293"/>
    </row>
    <row r="70" spans="1:13" x14ac:dyDescent="0.25">
      <c r="A70" s="291"/>
      <c r="B70" s="296" t="s">
        <v>179</v>
      </c>
      <c r="C70" s="297"/>
      <c r="D70" s="298">
        <v>433</v>
      </c>
      <c r="E70" s="297"/>
      <c r="F70" s="297"/>
      <c r="G70" s="297"/>
      <c r="H70" s="297"/>
      <c r="I70" s="297"/>
      <c r="J70" s="297"/>
      <c r="K70" s="297"/>
      <c r="L70" s="293"/>
      <c r="M70" s="293"/>
    </row>
    <row r="71" spans="1:13" x14ac:dyDescent="0.25">
      <c r="A71" s="291"/>
      <c r="B71" s="291" t="s">
        <v>1356</v>
      </c>
      <c r="C71" s="291"/>
      <c r="D71" s="291">
        <v>1.695E-2</v>
      </c>
      <c r="E71" s="291"/>
      <c r="F71" s="291"/>
      <c r="G71" s="291"/>
      <c r="H71" s="291"/>
      <c r="I71" s="291"/>
      <c r="J71" s="291"/>
      <c r="K71" s="291"/>
      <c r="L71" s="291"/>
      <c r="M71" s="291"/>
    </row>
    <row r="72" spans="1:13" x14ac:dyDescent="0.25">
      <c r="A72" s="291"/>
      <c r="B72" s="291" t="s">
        <v>1342</v>
      </c>
      <c r="C72" s="291"/>
      <c r="D72" s="295">
        <v>7.34</v>
      </c>
      <c r="E72" s="291"/>
      <c r="F72" s="291"/>
      <c r="G72" s="291"/>
      <c r="H72" s="291"/>
      <c r="I72" s="291"/>
      <c r="J72" s="291"/>
      <c r="K72" s="291"/>
      <c r="L72" s="291"/>
      <c r="M72" s="291"/>
    </row>
    <row r="73" spans="1:13" x14ac:dyDescent="0.25">
      <c r="A73" s="291"/>
      <c r="B73" s="291"/>
      <c r="C73" s="291"/>
      <c r="D73" s="291"/>
      <c r="E73" s="291"/>
      <c r="F73" s="291"/>
      <c r="G73" s="291"/>
      <c r="H73" s="291"/>
      <c r="I73" s="291"/>
      <c r="J73" s="291"/>
      <c r="K73" s="291"/>
      <c r="L73" s="291"/>
      <c r="M73" s="291"/>
    </row>
    <row r="74" spans="1:13" x14ac:dyDescent="0.25">
      <c r="A74" s="291"/>
      <c r="B74" s="291"/>
      <c r="C74" s="291"/>
      <c r="D74" s="291"/>
      <c r="E74" s="291"/>
      <c r="F74" s="291"/>
      <c r="G74" s="291"/>
      <c r="H74" s="291"/>
      <c r="I74" s="291"/>
      <c r="J74" s="291"/>
      <c r="K74" s="291"/>
      <c r="L74" s="291"/>
      <c r="M74" s="291"/>
    </row>
    <row r="75" spans="1:13" x14ac:dyDescent="0.25">
      <c r="A75" s="291"/>
      <c r="B75" s="291"/>
      <c r="C75" s="291"/>
      <c r="D75" s="291"/>
      <c r="E75" s="291"/>
      <c r="F75" s="291"/>
      <c r="G75" s="291"/>
      <c r="H75" s="291"/>
      <c r="I75" s="291"/>
      <c r="J75" s="291"/>
      <c r="K75" s="291"/>
      <c r="L75" s="291"/>
      <c r="M75" s="291"/>
    </row>
    <row r="76" spans="1:13" x14ac:dyDescent="0.25">
      <c r="A76" s="291"/>
      <c r="B76" s="291"/>
      <c r="C76" s="291"/>
      <c r="D76" s="291"/>
      <c r="E76" s="291"/>
      <c r="F76" s="291"/>
      <c r="G76" s="291"/>
      <c r="H76" s="291"/>
      <c r="I76" s="291"/>
      <c r="J76" s="291"/>
      <c r="K76" s="291"/>
      <c r="L76" s="291"/>
      <c r="M76" s="291"/>
    </row>
    <row r="77" spans="1:13" x14ac:dyDescent="0.25">
      <c r="A77" s="291"/>
      <c r="B77" s="291"/>
      <c r="C77" s="291"/>
      <c r="D77" s="291"/>
      <c r="E77" s="291"/>
      <c r="F77" s="291"/>
      <c r="G77" s="291"/>
      <c r="H77" s="291"/>
      <c r="I77" s="291"/>
      <c r="J77" s="291"/>
      <c r="K77" s="291"/>
      <c r="L77" s="291"/>
      <c r="M77" s="291"/>
    </row>
    <row r="78" spans="1:13" x14ac:dyDescent="0.25">
      <c r="A78" s="291"/>
      <c r="B78" s="293"/>
      <c r="C78" s="293"/>
      <c r="D78" s="293"/>
      <c r="E78" s="293"/>
      <c r="F78" s="293"/>
      <c r="G78" s="293"/>
      <c r="H78" s="293"/>
      <c r="I78" s="293"/>
      <c r="J78" s="293"/>
      <c r="K78" s="293"/>
      <c r="L78" s="293"/>
      <c r="M78" s="293"/>
    </row>
    <row r="79" spans="1:13" x14ac:dyDescent="0.25">
      <c r="A79" s="291"/>
      <c r="B79" s="293"/>
      <c r="C79" s="293"/>
      <c r="D79" s="293"/>
      <c r="E79" s="293"/>
      <c r="F79" s="293"/>
      <c r="G79" s="293"/>
      <c r="H79" s="293"/>
      <c r="I79" s="293"/>
      <c r="J79" s="293"/>
      <c r="K79" s="293"/>
      <c r="L79" s="293"/>
      <c r="M79" s="293"/>
    </row>
    <row r="80" spans="1:13" x14ac:dyDescent="0.25">
      <c r="A80" s="291"/>
      <c r="B80" s="293"/>
      <c r="C80" s="293"/>
      <c r="D80" s="293"/>
      <c r="E80" s="293"/>
      <c r="F80" s="293"/>
      <c r="G80" s="293"/>
      <c r="H80" s="293"/>
      <c r="I80" s="293"/>
      <c r="J80" s="293"/>
      <c r="K80" s="293"/>
      <c r="L80" s="293"/>
      <c r="M80" s="293"/>
    </row>
  </sheetData>
  <mergeCells count="24">
    <mergeCell ref="B60:H60"/>
    <mergeCell ref="B61:D61"/>
    <mergeCell ref="B62:D62"/>
    <mergeCell ref="B63:D63"/>
    <mergeCell ref="B68:K68"/>
    <mergeCell ref="B48:H48"/>
    <mergeCell ref="B50:D50"/>
    <mergeCell ref="B52:D52"/>
    <mergeCell ref="B58:H58"/>
    <mergeCell ref="B59:H59"/>
    <mergeCell ref="A1:I1"/>
    <mergeCell ref="A3:K6"/>
    <mergeCell ref="B18:F18"/>
    <mergeCell ref="B19:C19"/>
    <mergeCell ref="B20:D20"/>
    <mergeCell ref="B42:D42"/>
    <mergeCell ref="B43:D43"/>
    <mergeCell ref="B44:F44"/>
    <mergeCell ref="B45:D45"/>
    <mergeCell ref="B28:F28"/>
    <mergeCell ref="B29:C29"/>
    <mergeCell ref="B30:D30"/>
    <mergeCell ref="B38:H38"/>
    <mergeCell ref="B40:D40"/>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5B91D-6DBC-4BFE-9651-A4909BCBE6FB}">
  <dimension ref="A1:M92"/>
  <sheetViews>
    <sheetView workbookViewId="0">
      <selection activeCell="K13" sqref="K13"/>
    </sheetView>
  </sheetViews>
  <sheetFormatPr defaultRowHeight="15" x14ac:dyDescent="0.25"/>
  <cols>
    <col min="1" max="1" width="11.5703125" style="84" customWidth="1"/>
    <col min="2" max="2" width="13.42578125" style="84" customWidth="1"/>
    <col min="3" max="3" width="16.85546875" style="84" customWidth="1"/>
    <col min="4" max="4" width="11.42578125" style="84" bestFit="1" customWidth="1"/>
    <col min="5" max="5" width="11.28515625" style="84" bestFit="1" customWidth="1"/>
    <col min="6" max="16384" width="9.140625" style="84"/>
  </cols>
  <sheetData>
    <row r="1" spans="1:13" ht="21" x14ac:dyDescent="0.35">
      <c r="A1" s="457" t="s">
        <v>1371</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4" x14ac:dyDescent="0.25">
      <c r="A17" s="84" t="s">
        <v>10</v>
      </c>
      <c r="B17" s="84" t="s">
        <v>11</v>
      </c>
    </row>
    <row r="19" spans="1:4" x14ac:dyDescent="0.25">
      <c r="A19" s="84" t="s">
        <v>1357</v>
      </c>
    </row>
    <row r="20" spans="1:4" x14ac:dyDescent="0.25">
      <c r="C20" t="s">
        <v>957</v>
      </c>
      <c r="D20" s="299">
        <v>1512</v>
      </c>
    </row>
    <row r="21" spans="1:4" x14ac:dyDescent="0.25">
      <c r="C21" t="s">
        <v>958</v>
      </c>
      <c r="D21" s="300">
        <v>1119.05</v>
      </c>
    </row>
    <row r="22" spans="1:4" x14ac:dyDescent="0.25">
      <c r="C22" s="84" t="s">
        <v>748</v>
      </c>
      <c r="D22" s="299">
        <f>SUM(D20:D21)</f>
        <v>2631.05</v>
      </c>
    </row>
    <row r="23" spans="1:4" ht="15.75" thickBot="1" x14ac:dyDescent="0.3">
      <c r="C23" s="84" t="s">
        <v>549</v>
      </c>
      <c r="D23" s="301">
        <v>1.695E-2</v>
      </c>
    </row>
    <row r="24" spans="1:4" ht="15.75" thickTop="1" x14ac:dyDescent="0.25">
      <c r="C24" s="84" t="s">
        <v>635</v>
      </c>
      <c r="D24" s="299">
        <f>D22*D23</f>
        <v>44.596297500000006</v>
      </c>
    </row>
    <row r="28" spans="1:4" x14ac:dyDescent="0.25">
      <c r="A28" s="84" t="s">
        <v>12</v>
      </c>
      <c r="B28" s="84" t="s">
        <v>13</v>
      </c>
    </row>
    <row r="30" spans="1:4" x14ac:dyDescent="0.25">
      <c r="A30" s="84" t="s">
        <v>1358</v>
      </c>
    </row>
    <row r="31" spans="1:4" x14ac:dyDescent="0.25">
      <c r="C31" t="s">
        <v>957</v>
      </c>
      <c r="D31" s="299">
        <v>1512</v>
      </c>
    </row>
    <row r="32" spans="1:4" x14ac:dyDescent="0.25">
      <c r="C32" t="s">
        <v>958</v>
      </c>
      <c r="D32" s="300">
        <v>1119.05</v>
      </c>
    </row>
    <row r="33" spans="1:5" x14ac:dyDescent="0.25">
      <c r="C33" s="84" t="s">
        <v>748</v>
      </c>
      <c r="D33" s="299">
        <f>SUM(D31:D32)</f>
        <v>2631.05</v>
      </c>
    </row>
    <row r="34" spans="1:5" ht="15.75" thickBot="1" x14ac:dyDescent="0.3">
      <c r="C34" s="84" t="s">
        <v>549</v>
      </c>
      <c r="D34" s="301">
        <v>1.695E-2</v>
      </c>
    </row>
    <row r="35" spans="1:5" ht="15.75" thickTop="1" x14ac:dyDescent="0.25">
      <c r="C35" s="84" t="s">
        <v>635</v>
      </c>
      <c r="D35" s="299">
        <f>D33*D34</f>
        <v>44.596297500000006</v>
      </c>
    </row>
    <row r="39" spans="1:5" x14ac:dyDescent="0.25">
      <c r="A39" s="84" t="s">
        <v>15</v>
      </c>
      <c r="B39" s="84" t="s">
        <v>16</v>
      </c>
    </row>
    <row r="41" spans="1:5" x14ac:dyDescent="0.25">
      <c r="A41" s="84" t="s">
        <v>1359</v>
      </c>
      <c r="D41" s="84" t="s">
        <v>1360</v>
      </c>
      <c r="E41" s="84" t="s">
        <v>426</v>
      </c>
    </row>
    <row r="42" spans="1:5" x14ac:dyDescent="0.25">
      <c r="A42" s="84" t="s">
        <v>1361</v>
      </c>
      <c r="B42" s="299">
        <f>D35/12</f>
        <v>3.7163581250000006</v>
      </c>
      <c r="C42" t="s">
        <v>957</v>
      </c>
      <c r="D42" s="299">
        <v>1512</v>
      </c>
      <c r="E42" s="299">
        <f>D42*0.75</f>
        <v>1134</v>
      </c>
    </row>
    <row r="43" spans="1:5" x14ac:dyDescent="0.25">
      <c r="A43" s="84" t="s">
        <v>1362</v>
      </c>
      <c r="B43" s="299">
        <f>B42*8</f>
        <v>29.730865000000005</v>
      </c>
      <c r="C43" t="s">
        <v>958</v>
      </c>
      <c r="D43" s="300">
        <v>1285.71</v>
      </c>
      <c r="E43" s="300">
        <f>D43*0.75</f>
        <v>964.28250000000003</v>
      </c>
    </row>
    <row r="44" spans="1:5" x14ac:dyDescent="0.25">
      <c r="C44" s="84" t="s">
        <v>748</v>
      </c>
      <c r="D44" s="299">
        <f>SUM(D42:D43)</f>
        <v>2797.71</v>
      </c>
      <c r="E44" s="299">
        <f>SUM(E42:E43)</f>
        <v>2098.2825000000003</v>
      </c>
    </row>
    <row r="45" spans="1:5" ht="15.75" thickBot="1" x14ac:dyDescent="0.3">
      <c r="C45" s="84" t="s">
        <v>549</v>
      </c>
      <c r="D45" s="301">
        <v>1.695E-2</v>
      </c>
      <c r="E45" s="301">
        <v>1.695E-2</v>
      </c>
    </row>
    <row r="46" spans="1:5" ht="15.75" thickTop="1" x14ac:dyDescent="0.25">
      <c r="C46" s="84" t="s">
        <v>635</v>
      </c>
      <c r="D46" s="299">
        <f>D44*D45</f>
        <v>47.421184500000003</v>
      </c>
      <c r="E46" s="299">
        <f>E44*E45</f>
        <v>35.565888375000007</v>
      </c>
    </row>
    <row r="47" spans="1:5" x14ac:dyDescent="0.25">
      <c r="C47" s="84" t="s">
        <v>1363</v>
      </c>
      <c r="D47" s="191"/>
      <c r="E47" s="299">
        <f>B43</f>
        <v>29.730865000000005</v>
      </c>
    </row>
    <row r="48" spans="1:5" x14ac:dyDescent="0.25">
      <c r="C48" s="84" t="s">
        <v>1364</v>
      </c>
      <c r="D48" s="191"/>
      <c r="E48" s="299">
        <f>E46-E47</f>
        <v>5.8350233750000022</v>
      </c>
    </row>
    <row r="52" spans="1:13" x14ac:dyDescent="0.25">
      <c r="A52" s="84" t="s">
        <v>17</v>
      </c>
      <c r="B52" s="84" t="s">
        <v>18</v>
      </c>
    </row>
    <row r="54" spans="1:13" x14ac:dyDescent="0.25">
      <c r="G54" s="84">
        <f>7/12</f>
        <v>0.58333333333333337</v>
      </c>
    </row>
    <row r="55" spans="1:13" x14ac:dyDescent="0.25">
      <c r="A55" s="84" t="s">
        <v>1365</v>
      </c>
      <c r="D55" s="84" t="s">
        <v>1360</v>
      </c>
      <c r="E55" s="84" t="s">
        <v>427</v>
      </c>
    </row>
    <row r="56" spans="1:13" x14ac:dyDescent="0.25">
      <c r="B56" s="86"/>
      <c r="C56" t="s">
        <v>957</v>
      </c>
      <c r="D56" s="299">
        <v>1128</v>
      </c>
      <c r="E56" s="302">
        <f>D56*G54</f>
        <v>658</v>
      </c>
      <c r="F56" s="86"/>
      <c r="G56" s="86"/>
      <c r="H56" s="86"/>
      <c r="I56" s="86"/>
      <c r="J56" s="86"/>
      <c r="K56" s="86"/>
      <c r="L56" s="86"/>
      <c r="M56" s="86"/>
    </row>
    <row r="57" spans="1:13" x14ac:dyDescent="0.25">
      <c r="B57" s="86"/>
      <c r="C57" t="s">
        <v>958</v>
      </c>
      <c r="D57" s="300">
        <v>1651.79</v>
      </c>
      <c r="E57" s="303">
        <f>D57*G54</f>
        <v>963.54416666666668</v>
      </c>
      <c r="F57" s="86"/>
      <c r="G57" s="86"/>
      <c r="H57" s="86"/>
      <c r="I57" s="86"/>
      <c r="J57" s="86"/>
      <c r="K57" s="86"/>
      <c r="L57" s="86"/>
      <c r="M57" s="86"/>
    </row>
    <row r="58" spans="1:13" x14ac:dyDescent="0.25">
      <c r="B58" s="86"/>
      <c r="C58" s="84" t="s">
        <v>748</v>
      </c>
      <c r="D58" s="299">
        <f>SUM(D56:D57)</f>
        <v>2779.79</v>
      </c>
      <c r="E58" s="299">
        <f>SUM(E56:E57)</f>
        <v>1621.5441666666666</v>
      </c>
      <c r="F58" s="86"/>
      <c r="G58" s="86"/>
      <c r="H58" s="86"/>
      <c r="I58" s="86"/>
      <c r="J58" s="86"/>
      <c r="K58" s="86"/>
      <c r="L58" s="86"/>
      <c r="M58" s="86"/>
    </row>
    <row r="59" spans="1:13" ht="15.75" thickBot="1" x14ac:dyDescent="0.3">
      <c r="C59" s="84" t="s">
        <v>549</v>
      </c>
      <c r="D59" s="301">
        <v>1.695E-2</v>
      </c>
      <c r="E59" s="301">
        <v>1.695E-2</v>
      </c>
    </row>
    <row r="60" spans="1:13" ht="15.75" thickTop="1" x14ac:dyDescent="0.25">
      <c r="C60" s="84" t="s">
        <v>635</v>
      </c>
      <c r="D60" s="299">
        <f>D58*D59</f>
        <v>47.117440500000001</v>
      </c>
      <c r="E60" s="299">
        <f>E58*E59</f>
        <v>27.485173624999998</v>
      </c>
    </row>
    <row r="64" spans="1:13" x14ac:dyDescent="0.25">
      <c r="A64" s="84" t="s">
        <v>20</v>
      </c>
      <c r="B64" s="84" t="s">
        <v>21</v>
      </c>
    </row>
    <row r="66" spans="1:13" x14ac:dyDescent="0.25">
      <c r="G66" s="84">
        <v>0.5</v>
      </c>
    </row>
    <row r="67" spans="1:13" x14ac:dyDescent="0.25">
      <c r="A67" s="84" t="s">
        <v>1366</v>
      </c>
    </row>
    <row r="68" spans="1:13" x14ac:dyDescent="0.25">
      <c r="B68" s="86"/>
      <c r="C68" t="s">
        <v>957</v>
      </c>
      <c r="D68" s="304">
        <v>1512</v>
      </c>
      <c r="E68" s="305">
        <f>D68*G66</f>
        <v>756</v>
      </c>
    </row>
    <row r="69" spans="1:13" x14ac:dyDescent="0.25">
      <c r="B69" s="86"/>
      <c r="C69" t="s">
        <v>958</v>
      </c>
      <c r="D69" s="300">
        <v>1785.71</v>
      </c>
      <c r="E69" s="303">
        <f>D69*G66</f>
        <v>892.85500000000002</v>
      </c>
    </row>
    <row r="70" spans="1:13" x14ac:dyDescent="0.25">
      <c r="B70" s="86"/>
      <c r="C70" s="84" t="s">
        <v>748</v>
      </c>
      <c r="D70" s="306">
        <f>SUM(D68:D69)</f>
        <v>3297.71</v>
      </c>
      <c r="E70" s="307">
        <f>SUM(E68:E69)</f>
        <v>1648.855</v>
      </c>
    </row>
    <row r="71" spans="1:13" ht="15.75" thickBot="1" x14ac:dyDescent="0.3">
      <c r="C71" s="84" t="s">
        <v>549</v>
      </c>
      <c r="D71" s="301">
        <v>1.695E-2</v>
      </c>
      <c r="E71" s="301">
        <v>1.695E-2</v>
      </c>
    </row>
    <row r="72" spans="1:13" ht="15.75" thickTop="1" x14ac:dyDescent="0.25">
      <c r="C72" s="84" t="s">
        <v>635</v>
      </c>
      <c r="D72" s="299">
        <f>D70*D71</f>
        <v>55.896184499999997</v>
      </c>
      <c r="E72" s="299">
        <f>E70*E71</f>
        <v>27.948092249999998</v>
      </c>
    </row>
    <row r="73" spans="1:13" x14ac:dyDescent="0.25">
      <c r="C73" s="84" t="s">
        <v>1367</v>
      </c>
      <c r="D73" s="191"/>
      <c r="E73" s="299">
        <f>(E60/7)*6</f>
        <v>23.55872025</v>
      </c>
    </row>
    <row r="74" spans="1:13" x14ac:dyDescent="0.25">
      <c r="C74" s="84" t="s">
        <v>1364</v>
      </c>
      <c r="D74" s="191"/>
      <c r="E74" s="299">
        <f>E72-E73</f>
        <v>4.3893719999999981</v>
      </c>
    </row>
    <row r="75" spans="1:13" x14ac:dyDescent="0.25">
      <c r="D75" s="191"/>
      <c r="E75" s="191"/>
    </row>
    <row r="76" spans="1:13" x14ac:dyDescent="0.25">
      <c r="B76" s="86"/>
      <c r="C76" s="86"/>
      <c r="D76" s="86"/>
      <c r="E76" s="86"/>
      <c r="F76" s="86"/>
      <c r="G76" s="86"/>
      <c r="H76" s="86"/>
      <c r="I76" s="86"/>
      <c r="J76" s="86"/>
      <c r="K76" s="86"/>
      <c r="L76" s="86"/>
      <c r="M76" s="86"/>
    </row>
    <row r="77" spans="1:13" x14ac:dyDescent="0.25">
      <c r="A77" s="84" t="s">
        <v>22</v>
      </c>
      <c r="B77" s="84" t="s">
        <v>23</v>
      </c>
    </row>
    <row r="78" spans="1:13" ht="40.5" customHeight="1" x14ac:dyDescent="0.25">
      <c r="B78" s="459" t="s">
        <v>24</v>
      </c>
      <c r="C78" s="459"/>
      <c r="D78" s="459"/>
      <c r="E78" s="459"/>
      <c r="F78" s="459"/>
      <c r="G78" s="459"/>
      <c r="H78" s="459"/>
      <c r="I78" s="459"/>
      <c r="J78" s="459"/>
      <c r="K78" s="459"/>
      <c r="L78" s="86"/>
      <c r="M78" s="86"/>
    </row>
    <row r="79" spans="1:13" x14ac:dyDescent="0.25">
      <c r="B79" s="88"/>
      <c r="C79" s="88"/>
      <c r="D79" s="88"/>
      <c r="E79" s="88"/>
      <c r="F79" s="88"/>
      <c r="G79" s="88"/>
      <c r="H79" s="88"/>
      <c r="I79" s="88"/>
      <c r="J79" s="88"/>
      <c r="K79" s="88"/>
      <c r="L79" s="86"/>
      <c r="M79" s="86"/>
    </row>
    <row r="80" spans="1:13" x14ac:dyDescent="0.25">
      <c r="A80" s="84" t="s">
        <v>1368</v>
      </c>
      <c r="E80" s="88"/>
      <c r="F80" s="88"/>
      <c r="G80" s="88"/>
      <c r="H80" s="88"/>
      <c r="I80" s="88"/>
      <c r="J80" s="88"/>
      <c r="K80" s="88"/>
      <c r="L80" s="86"/>
      <c r="M80" s="86"/>
    </row>
    <row r="81" spans="1:13" x14ac:dyDescent="0.25">
      <c r="A81" s="84" t="s">
        <v>1369</v>
      </c>
      <c r="E81" s="88"/>
      <c r="F81" s="88"/>
      <c r="G81" s="88"/>
      <c r="H81" s="88"/>
      <c r="I81" s="88"/>
      <c r="J81" s="88"/>
      <c r="K81" s="88"/>
      <c r="L81" s="86"/>
      <c r="M81" s="86"/>
    </row>
    <row r="82" spans="1:13" x14ac:dyDescent="0.25">
      <c r="A82" s="84" t="s">
        <v>959</v>
      </c>
      <c r="B82" s="84" t="s">
        <v>1370</v>
      </c>
      <c r="E82" s="88"/>
      <c r="F82" s="88"/>
      <c r="G82" s="88"/>
      <c r="H82" s="88"/>
      <c r="I82" s="88"/>
      <c r="J82" s="88"/>
      <c r="K82" s="88"/>
      <c r="L82" s="86"/>
      <c r="M82" s="86"/>
    </row>
    <row r="83" spans="1:13" x14ac:dyDescent="0.25">
      <c r="B83" s="86"/>
      <c r="C83" t="s">
        <v>957</v>
      </c>
      <c r="D83" s="299">
        <v>384</v>
      </c>
    </row>
    <row r="84" spans="1:13" x14ac:dyDescent="0.25">
      <c r="B84" s="86"/>
      <c r="C84" t="s">
        <v>958</v>
      </c>
      <c r="D84" s="300">
        <v>653.57000000000005</v>
      </c>
    </row>
    <row r="85" spans="1:13" x14ac:dyDescent="0.25">
      <c r="B85" s="86"/>
      <c r="C85" s="84" t="s">
        <v>748</v>
      </c>
      <c r="D85" s="299">
        <f>SUM(D83:D84)</f>
        <v>1037.5700000000002</v>
      </c>
    </row>
    <row r="86" spans="1:13" ht="15.75" thickBot="1" x14ac:dyDescent="0.3">
      <c r="C86" s="84" t="s">
        <v>549</v>
      </c>
      <c r="D86" s="301">
        <v>1.695E-2</v>
      </c>
    </row>
    <row r="87" spans="1:13" ht="15.75" thickTop="1" x14ac:dyDescent="0.25">
      <c r="C87" s="84" t="s">
        <v>635</v>
      </c>
      <c r="D87" s="299">
        <f>D85*D86</f>
        <v>17.586811500000003</v>
      </c>
    </row>
    <row r="90" spans="1:13" x14ac:dyDescent="0.25">
      <c r="B90" s="86"/>
      <c r="C90" s="86"/>
      <c r="D90" s="86"/>
      <c r="E90" s="86"/>
      <c r="F90" s="86"/>
      <c r="G90" s="86"/>
      <c r="H90" s="86"/>
      <c r="I90" s="86"/>
      <c r="J90" s="86"/>
      <c r="K90" s="86"/>
      <c r="L90" s="86"/>
      <c r="M90" s="86"/>
    </row>
    <row r="91" spans="1:13" x14ac:dyDescent="0.25">
      <c r="B91" s="86"/>
      <c r="C91" s="86"/>
      <c r="D91" s="86"/>
      <c r="E91" s="86"/>
      <c r="F91" s="86"/>
      <c r="G91" s="86"/>
      <c r="H91" s="86"/>
      <c r="I91" s="86"/>
      <c r="J91" s="86"/>
      <c r="K91" s="86"/>
      <c r="L91" s="86"/>
      <c r="M91" s="86"/>
    </row>
    <row r="92" spans="1:13" x14ac:dyDescent="0.25">
      <c r="B92" s="86"/>
      <c r="C92" s="86"/>
      <c r="D92" s="86"/>
      <c r="E92" s="86"/>
      <c r="F92" s="86"/>
      <c r="G92" s="86"/>
      <c r="H92" s="86"/>
      <c r="I92" s="86"/>
      <c r="J92" s="86"/>
      <c r="K92" s="86"/>
      <c r="L92" s="86"/>
      <c r="M92" s="86"/>
    </row>
  </sheetData>
  <mergeCells count="3">
    <mergeCell ref="A1:I1"/>
    <mergeCell ref="A3:K6"/>
    <mergeCell ref="B78:K7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8D690-EF92-4AD2-88EC-6A15204DA9C4}">
  <dimension ref="A1:N81"/>
  <sheetViews>
    <sheetView workbookViewId="0">
      <selection sqref="A1:XFD1048576"/>
    </sheetView>
  </sheetViews>
  <sheetFormatPr defaultColWidth="9.140625" defaultRowHeight="15" x14ac:dyDescent="0.25"/>
  <cols>
    <col min="1" max="16384" width="9.140625" style="84"/>
  </cols>
  <sheetData>
    <row r="1" spans="1:13" ht="21" x14ac:dyDescent="0.35">
      <c r="A1" s="457" t="s">
        <v>1372</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11" x14ac:dyDescent="0.25">
      <c r="A17" s="84" t="s">
        <v>10</v>
      </c>
      <c r="B17" s="84" t="s">
        <v>11</v>
      </c>
    </row>
    <row r="20" spans="1:11" x14ac:dyDescent="0.25">
      <c r="B20" s="4" t="s">
        <v>428</v>
      </c>
      <c r="C20"/>
      <c r="D20"/>
      <c r="E20"/>
      <c r="F20"/>
      <c r="G20"/>
      <c r="H20"/>
      <c r="I20"/>
      <c r="J20"/>
      <c r="K20"/>
    </row>
    <row r="21" spans="1:11" x14ac:dyDescent="0.25">
      <c r="B21" s="74" t="s">
        <v>429</v>
      </c>
      <c r="C21"/>
      <c r="D21"/>
      <c r="E21"/>
      <c r="F21"/>
      <c r="G21"/>
      <c r="H21"/>
      <c r="I21"/>
      <c r="J21"/>
      <c r="K21"/>
    </row>
    <row r="22" spans="1:11" x14ac:dyDescent="0.25">
      <c r="B22"/>
      <c r="C22" t="s">
        <v>430</v>
      </c>
      <c r="D22"/>
      <c r="E22"/>
      <c r="F22"/>
      <c r="G22"/>
      <c r="H22"/>
      <c r="I22"/>
      <c r="J22"/>
      <c r="K22"/>
    </row>
    <row r="23" spans="1:11" x14ac:dyDescent="0.25">
      <c r="B23" s="74"/>
      <c r="C23"/>
      <c r="D23" t="s">
        <v>431</v>
      </c>
      <c r="E23"/>
      <c r="F23"/>
      <c r="G23"/>
      <c r="H23"/>
      <c r="I23"/>
      <c r="J23"/>
      <c r="K23"/>
    </row>
    <row r="24" spans="1:11" x14ac:dyDescent="0.25">
      <c r="B24" s="74" t="s">
        <v>432</v>
      </c>
      <c r="C24"/>
      <c r="D24"/>
      <c r="E24"/>
      <c r="F24"/>
      <c r="G24"/>
      <c r="H24"/>
      <c r="I24"/>
      <c r="J24"/>
      <c r="K24"/>
    </row>
    <row r="25" spans="1:11" x14ac:dyDescent="0.25">
      <c r="B25"/>
      <c r="C25" t="s">
        <v>433</v>
      </c>
      <c r="D25"/>
      <c r="E25"/>
      <c r="F25"/>
      <c r="G25"/>
      <c r="H25"/>
      <c r="I25"/>
      <c r="J25"/>
      <c r="K25"/>
    </row>
    <row r="26" spans="1:11" x14ac:dyDescent="0.25">
      <c r="B26"/>
      <c r="C26"/>
      <c r="D26"/>
      <c r="E26"/>
      <c r="F26"/>
      <c r="G26"/>
      <c r="H26"/>
      <c r="I26"/>
      <c r="J26"/>
      <c r="K26"/>
    </row>
    <row r="27" spans="1:11" x14ac:dyDescent="0.25">
      <c r="A27" s="84" t="s">
        <v>12</v>
      </c>
      <c r="B27" s="84" t="s">
        <v>13</v>
      </c>
    </row>
    <row r="30" spans="1:11" x14ac:dyDescent="0.25">
      <c r="B30" s="4" t="s">
        <v>428</v>
      </c>
      <c r="C30"/>
      <c r="D30"/>
      <c r="E30"/>
      <c r="F30"/>
      <c r="G30"/>
      <c r="H30"/>
      <c r="I30"/>
      <c r="J30"/>
      <c r="K30"/>
    </row>
    <row r="31" spans="1:11" x14ac:dyDescent="0.25">
      <c r="B31" s="74" t="s">
        <v>429</v>
      </c>
      <c r="C31"/>
      <c r="D31"/>
      <c r="E31"/>
      <c r="F31"/>
      <c r="G31"/>
      <c r="H31"/>
      <c r="I31"/>
      <c r="J31"/>
      <c r="K31"/>
    </row>
    <row r="32" spans="1:11" x14ac:dyDescent="0.25">
      <c r="B32"/>
      <c r="C32" t="s">
        <v>430</v>
      </c>
      <c r="D32"/>
      <c r="E32"/>
      <c r="F32"/>
      <c r="G32"/>
      <c r="H32"/>
      <c r="I32"/>
      <c r="J32"/>
      <c r="K32"/>
    </row>
    <row r="33" spans="1:11" x14ac:dyDescent="0.25">
      <c r="B33" s="74"/>
      <c r="C33"/>
      <c r="D33" t="s">
        <v>431</v>
      </c>
      <c r="E33"/>
      <c r="F33"/>
      <c r="G33"/>
      <c r="H33"/>
      <c r="I33"/>
      <c r="J33"/>
      <c r="K33"/>
    </row>
    <row r="34" spans="1:11" x14ac:dyDescent="0.25">
      <c r="B34" s="74" t="s">
        <v>432</v>
      </c>
      <c r="C34"/>
      <c r="D34"/>
      <c r="E34"/>
      <c r="F34"/>
      <c r="G34"/>
      <c r="H34"/>
      <c r="I34"/>
      <c r="J34"/>
      <c r="K34"/>
    </row>
    <row r="35" spans="1:11" x14ac:dyDescent="0.25">
      <c r="B35"/>
      <c r="C35" t="s">
        <v>433</v>
      </c>
      <c r="D35"/>
      <c r="E35"/>
      <c r="F35"/>
      <c r="G35"/>
      <c r="H35"/>
      <c r="I35"/>
      <c r="J35"/>
      <c r="K35"/>
    </row>
    <row r="37" spans="1:11" x14ac:dyDescent="0.25">
      <c r="A37" s="84" t="s">
        <v>15</v>
      </c>
      <c r="B37" s="84" t="s">
        <v>16</v>
      </c>
    </row>
    <row r="39" spans="1:11" x14ac:dyDescent="0.25">
      <c r="B39" s="4" t="s">
        <v>434</v>
      </c>
      <c r="C39"/>
      <c r="D39"/>
    </row>
    <row r="47" spans="1:11" x14ac:dyDescent="0.25">
      <c r="A47" s="84" t="s">
        <v>17</v>
      </c>
      <c r="B47" s="84" t="s">
        <v>18</v>
      </c>
    </row>
    <row r="49" spans="1:14" x14ac:dyDescent="0.25">
      <c r="B49" s="4" t="s">
        <v>428</v>
      </c>
      <c r="C49"/>
      <c r="D49" s="1"/>
      <c r="E49" s="1"/>
      <c r="F49" s="1"/>
      <c r="G49" s="1"/>
      <c r="H49" s="1"/>
      <c r="I49" s="1"/>
      <c r="J49" s="1"/>
      <c r="K49" s="1"/>
      <c r="L49" s="1"/>
      <c r="M49" s="1"/>
    </row>
    <row r="50" spans="1:14" x14ac:dyDescent="0.25">
      <c r="B50" s="74" t="s">
        <v>429</v>
      </c>
      <c r="C50"/>
      <c r="D50" s="1"/>
      <c r="E50" s="1"/>
      <c r="F50" s="1"/>
      <c r="G50" s="1"/>
      <c r="H50" s="1"/>
      <c r="I50" s="1"/>
      <c r="J50" s="1"/>
      <c r="K50" s="1"/>
      <c r="L50" s="1"/>
      <c r="M50" s="1"/>
      <c r="N50"/>
    </row>
    <row r="51" spans="1:14" x14ac:dyDescent="0.25">
      <c r="B51"/>
      <c r="C51" t="s">
        <v>435</v>
      </c>
      <c r="D51" s="1"/>
      <c r="E51" s="1"/>
      <c r="F51" s="1"/>
      <c r="G51" s="1"/>
      <c r="H51" s="1"/>
      <c r="I51" s="1"/>
      <c r="J51" s="1"/>
      <c r="K51" s="1"/>
      <c r="L51" s="1"/>
      <c r="M51" s="1"/>
      <c r="N51"/>
    </row>
    <row r="52" spans="1:14" x14ac:dyDescent="0.25">
      <c r="B52" s="74"/>
      <c r="C52"/>
      <c r="D52" t="s">
        <v>436</v>
      </c>
      <c r="E52"/>
      <c r="F52"/>
      <c r="G52"/>
      <c r="H52"/>
      <c r="I52"/>
      <c r="J52"/>
      <c r="K52"/>
      <c r="L52"/>
      <c r="M52"/>
      <c r="N52"/>
    </row>
    <row r="53" spans="1:14" x14ac:dyDescent="0.25">
      <c r="B53"/>
      <c r="C53"/>
      <c r="D53"/>
      <c r="E53"/>
      <c r="F53"/>
      <c r="G53"/>
      <c r="H53"/>
      <c r="I53"/>
      <c r="J53"/>
      <c r="K53"/>
      <c r="L53"/>
      <c r="M53"/>
      <c r="N53"/>
    </row>
    <row r="54" spans="1:14" x14ac:dyDescent="0.25">
      <c r="B54" s="74" t="s">
        <v>432</v>
      </c>
      <c r="C54"/>
      <c r="D54"/>
      <c r="E54"/>
      <c r="F54"/>
      <c r="G54"/>
      <c r="H54"/>
      <c r="I54"/>
      <c r="J54"/>
      <c r="K54"/>
      <c r="L54"/>
      <c r="M54"/>
      <c r="N54"/>
    </row>
    <row r="55" spans="1:14" x14ac:dyDescent="0.25">
      <c r="B55"/>
      <c r="C55" t="s">
        <v>437</v>
      </c>
      <c r="D55"/>
      <c r="E55"/>
      <c r="F55"/>
      <c r="G55"/>
      <c r="H55"/>
      <c r="I55"/>
      <c r="J55"/>
      <c r="K55"/>
      <c r="L55"/>
      <c r="M55"/>
      <c r="N55"/>
    </row>
    <row r="56" spans="1:14" x14ac:dyDescent="0.25">
      <c r="B56"/>
      <c r="C56" t="s">
        <v>438</v>
      </c>
      <c r="D56"/>
      <c r="E56"/>
      <c r="F56"/>
      <c r="G56"/>
      <c r="H56"/>
      <c r="I56"/>
      <c r="J56"/>
      <c r="K56"/>
      <c r="L56"/>
      <c r="M56"/>
      <c r="N56"/>
    </row>
    <row r="57" spans="1:14" x14ac:dyDescent="0.25">
      <c r="B57"/>
      <c r="C57"/>
      <c r="D57"/>
      <c r="E57"/>
      <c r="F57"/>
      <c r="G57"/>
      <c r="H57"/>
      <c r="I57"/>
      <c r="J57"/>
      <c r="K57"/>
      <c r="L57"/>
      <c r="M57"/>
      <c r="N57"/>
    </row>
    <row r="58" spans="1:14" x14ac:dyDescent="0.25">
      <c r="A58" s="84" t="s">
        <v>20</v>
      </c>
      <c r="N58"/>
    </row>
    <row r="60" spans="1:14" x14ac:dyDescent="0.25">
      <c r="B60" s="4" t="s">
        <v>439</v>
      </c>
      <c r="C60"/>
      <c r="D60"/>
      <c r="E60"/>
      <c r="F60"/>
      <c r="G60"/>
      <c r="H60"/>
      <c r="I60"/>
      <c r="J60"/>
    </row>
    <row r="61" spans="1:14" x14ac:dyDescent="0.25">
      <c r="B61" s="74" t="s">
        <v>429</v>
      </c>
      <c r="C61"/>
      <c r="D61"/>
      <c r="E61"/>
      <c r="F61"/>
      <c r="G61"/>
      <c r="H61"/>
      <c r="I61"/>
      <c r="J61"/>
    </row>
    <row r="62" spans="1:14" x14ac:dyDescent="0.25">
      <c r="B62"/>
      <c r="C62" t="s">
        <v>1373</v>
      </c>
      <c r="D62"/>
      <c r="E62"/>
      <c r="F62"/>
      <c r="G62"/>
      <c r="H62"/>
      <c r="I62"/>
      <c r="J62"/>
    </row>
    <row r="63" spans="1:14" x14ac:dyDescent="0.25">
      <c r="B63"/>
      <c r="C63"/>
      <c r="D63" t="s">
        <v>440</v>
      </c>
      <c r="E63"/>
      <c r="F63"/>
      <c r="G63"/>
      <c r="H63"/>
      <c r="I63"/>
      <c r="J63"/>
    </row>
    <row r="64" spans="1:14" x14ac:dyDescent="0.25">
      <c r="B64"/>
      <c r="C64"/>
      <c r="D64" t="s">
        <v>441</v>
      </c>
      <c r="E64"/>
      <c r="F64"/>
      <c r="G64"/>
      <c r="H64"/>
      <c r="I64"/>
      <c r="J64"/>
    </row>
    <row r="65" spans="1:13" x14ac:dyDescent="0.25">
      <c r="B65"/>
      <c r="C65"/>
      <c r="D65" t="s">
        <v>442</v>
      </c>
      <c r="E65"/>
      <c r="F65"/>
      <c r="G65"/>
      <c r="H65"/>
      <c r="I65"/>
      <c r="J65"/>
    </row>
    <row r="66" spans="1:13" x14ac:dyDescent="0.25">
      <c r="B66" s="74" t="s">
        <v>432</v>
      </c>
      <c r="C66"/>
      <c r="D66"/>
      <c r="E66"/>
      <c r="F66"/>
      <c r="G66"/>
      <c r="H66"/>
      <c r="I66"/>
      <c r="J66"/>
      <c r="K66" s="86"/>
      <c r="L66" s="86"/>
      <c r="M66" s="86"/>
    </row>
    <row r="67" spans="1:13" x14ac:dyDescent="0.25">
      <c r="B67" s="86"/>
      <c r="C67" s="86"/>
      <c r="D67" s="86"/>
      <c r="E67" s="86"/>
      <c r="F67" s="86"/>
      <c r="G67" s="86"/>
      <c r="H67" s="86"/>
      <c r="I67" s="86"/>
      <c r="J67" s="86"/>
      <c r="K67" s="86"/>
      <c r="L67" s="86"/>
      <c r="M67" s="86"/>
    </row>
    <row r="68" spans="1:13" x14ac:dyDescent="0.25">
      <c r="A68" s="84" t="s">
        <v>22</v>
      </c>
      <c r="B68" s="84" t="s">
        <v>23</v>
      </c>
    </row>
    <row r="69" spans="1:13" ht="40.5" customHeight="1" x14ac:dyDescent="0.25">
      <c r="B69" s="459" t="s">
        <v>24</v>
      </c>
      <c r="C69" s="459"/>
      <c r="D69" s="459"/>
      <c r="E69" s="459"/>
      <c r="F69" s="459"/>
      <c r="G69" s="459"/>
      <c r="H69" s="459"/>
      <c r="I69" s="459"/>
      <c r="J69" s="459"/>
      <c r="K69" s="459"/>
      <c r="L69" s="86"/>
      <c r="M69" s="86"/>
    </row>
    <row r="70" spans="1:13" x14ac:dyDescent="0.25">
      <c r="B70" s="88"/>
      <c r="C70" s="88"/>
      <c r="D70" s="88"/>
      <c r="E70" s="88"/>
      <c r="F70" s="88"/>
      <c r="G70" s="88"/>
      <c r="H70" s="88"/>
      <c r="I70" s="88"/>
      <c r="J70" s="88"/>
      <c r="K70" s="88"/>
      <c r="L70" s="86"/>
      <c r="M70" s="86"/>
    </row>
    <row r="71" spans="1:13" x14ac:dyDescent="0.25">
      <c r="B71" s="308" t="s">
        <v>443</v>
      </c>
      <c r="C71" s="2"/>
      <c r="D71" s="2"/>
      <c r="E71" s="2"/>
      <c r="F71" s="2"/>
      <c r="G71" s="88"/>
      <c r="H71" s="88"/>
      <c r="I71" s="88"/>
      <c r="J71" s="88"/>
      <c r="K71" s="88"/>
      <c r="L71" s="86"/>
      <c r="M71" s="86"/>
    </row>
    <row r="72" spans="1:13" x14ac:dyDescent="0.25">
      <c r="B72" s="74" t="s">
        <v>429</v>
      </c>
      <c r="C72"/>
      <c r="D72"/>
      <c r="E72"/>
      <c r="F72"/>
    </row>
    <row r="73" spans="1:13" x14ac:dyDescent="0.25">
      <c r="B73"/>
      <c r="C73" t="s">
        <v>1374</v>
      </c>
      <c r="D73"/>
      <c r="E73"/>
      <c r="F73"/>
    </row>
    <row r="74" spans="1:13" x14ac:dyDescent="0.25">
      <c r="B74"/>
      <c r="C74" t="s">
        <v>1375</v>
      </c>
      <c r="D74"/>
      <c r="E74"/>
      <c r="F74"/>
    </row>
    <row r="75" spans="1:13" x14ac:dyDescent="0.25">
      <c r="B75" s="74" t="s">
        <v>432</v>
      </c>
      <c r="C75"/>
      <c r="D75"/>
      <c r="E75"/>
      <c r="F75"/>
    </row>
    <row r="77" spans="1:13" x14ac:dyDescent="0.25">
      <c r="B77" s="74"/>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row r="81" spans="2:13" x14ac:dyDescent="0.25">
      <c r="B81" s="86"/>
      <c r="C81" s="86"/>
      <c r="D81" s="86"/>
      <c r="E81" s="86"/>
      <c r="F81" s="86"/>
      <c r="G81" s="86"/>
      <c r="H81" s="86"/>
      <c r="I81" s="86"/>
      <c r="J81" s="86"/>
      <c r="K81" s="86"/>
      <c r="L81" s="86"/>
      <c r="M81" s="86"/>
    </row>
  </sheetData>
  <mergeCells count="3">
    <mergeCell ref="A1:I1"/>
    <mergeCell ref="A3:K6"/>
    <mergeCell ref="B69:K69"/>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B8E33-8338-463F-8975-4E720A2BA748}">
  <dimension ref="A1:M66"/>
  <sheetViews>
    <sheetView workbookViewId="0">
      <selection sqref="A1:XFD1048576"/>
    </sheetView>
  </sheetViews>
  <sheetFormatPr defaultRowHeight="15" x14ac:dyDescent="0.25"/>
  <cols>
    <col min="1" max="1" width="10.42578125" style="84" bestFit="1" customWidth="1"/>
    <col min="2" max="2" width="82.5703125" style="84" bestFit="1" customWidth="1"/>
    <col min="3" max="3" width="53.28515625" style="84" bestFit="1" customWidth="1"/>
    <col min="4" max="16384" width="9.140625" style="84"/>
  </cols>
  <sheetData>
    <row r="1" spans="1:13" ht="21" x14ac:dyDescent="0.35">
      <c r="A1" s="457" t="s">
        <v>1376</v>
      </c>
      <c r="B1" s="457"/>
      <c r="C1" s="457"/>
      <c r="D1" s="309"/>
      <c r="E1" s="309"/>
      <c r="F1" s="309"/>
      <c r="G1" s="309"/>
      <c r="H1" s="309"/>
      <c r="I1" s="309"/>
    </row>
    <row r="2" spans="1:13" ht="21" x14ac:dyDescent="0.35">
      <c r="A2" s="83"/>
      <c r="B2" s="83"/>
      <c r="C2" s="83"/>
      <c r="D2" s="83"/>
      <c r="E2" s="83"/>
      <c r="F2" s="83"/>
      <c r="G2" s="83"/>
      <c r="H2" s="83"/>
      <c r="I2" s="83"/>
    </row>
    <row r="3" spans="1:13" ht="15" customHeight="1" x14ac:dyDescent="0.25">
      <c r="A3" s="501" t="s">
        <v>1068</v>
      </c>
      <c r="B3" s="501"/>
      <c r="C3" s="501"/>
      <c r="D3" s="85"/>
      <c r="E3" s="85"/>
      <c r="F3" s="85"/>
      <c r="G3" s="85"/>
      <c r="H3" s="85"/>
      <c r="I3" s="85"/>
      <c r="J3" s="85"/>
      <c r="K3" s="85"/>
      <c r="L3" s="85"/>
      <c r="M3" s="85"/>
    </row>
    <row r="4" spans="1:13" x14ac:dyDescent="0.25">
      <c r="A4" s="501"/>
      <c r="B4" s="501"/>
      <c r="C4" s="501"/>
      <c r="D4" s="85"/>
      <c r="E4" s="85"/>
      <c r="F4" s="85"/>
      <c r="G4" s="85"/>
      <c r="H4" s="85"/>
      <c r="I4" s="85"/>
      <c r="J4" s="85"/>
      <c r="K4" s="85"/>
      <c r="L4" s="85"/>
      <c r="M4" s="85"/>
    </row>
    <row r="5" spans="1:13" x14ac:dyDescent="0.25">
      <c r="A5" s="501"/>
      <c r="B5" s="501"/>
      <c r="C5" s="501"/>
      <c r="D5" s="85"/>
      <c r="E5" s="85"/>
      <c r="F5" s="85"/>
      <c r="G5" s="85"/>
      <c r="H5" s="85"/>
      <c r="I5" s="85"/>
      <c r="J5" s="85"/>
      <c r="K5" s="85"/>
      <c r="L5" s="85"/>
      <c r="M5" s="85"/>
    </row>
    <row r="6" spans="1:13" x14ac:dyDescent="0.25">
      <c r="A6" s="501"/>
      <c r="B6" s="501"/>
      <c r="C6" s="501"/>
      <c r="D6" s="85"/>
      <c r="E6" s="85"/>
      <c r="F6" s="85"/>
      <c r="G6" s="85"/>
      <c r="H6" s="85"/>
      <c r="I6" s="85"/>
      <c r="J6" s="85"/>
      <c r="K6" s="85"/>
      <c r="L6" s="85"/>
      <c r="M6" s="85"/>
    </row>
    <row r="7" spans="1:13" x14ac:dyDescent="0.25">
      <c r="A7" s="86" t="s">
        <v>2</v>
      </c>
      <c r="B7" s="86" t="s">
        <v>3</v>
      </c>
      <c r="C7" s="86"/>
      <c r="D7" s="86"/>
      <c r="E7" s="86"/>
      <c r="F7" s="86"/>
      <c r="G7" s="86"/>
      <c r="H7" s="86"/>
    </row>
    <row r="8" spans="1:13" x14ac:dyDescent="0.25">
      <c r="B8" s="86" t="s">
        <v>4</v>
      </c>
      <c r="C8" s="86"/>
      <c r="D8" s="86"/>
      <c r="E8" s="86"/>
      <c r="F8" s="86"/>
      <c r="G8" s="86"/>
      <c r="H8" s="86"/>
    </row>
    <row r="9" spans="1:13" x14ac:dyDescent="0.25">
      <c r="B9" s="86" t="s">
        <v>6</v>
      </c>
      <c r="C9" s="86"/>
      <c r="D9" s="86"/>
      <c r="E9" s="86"/>
      <c r="F9" s="86"/>
      <c r="G9" s="86"/>
      <c r="H9" s="86"/>
    </row>
    <row r="10" spans="1:13" x14ac:dyDescent="0.25">
      <c r="B10" s="86" t="s">
        <v>7</v>
      </c>
      <c r="C10" s="86"/>
      <c r="D10" s="86"/>
      <c r="E10" s="86"/>
      <c r="F10" s="86"/>
      <c r="G10" s="86"/>
      <c r="H10" s="86"/>
    </row>
    <row r="11" spans="1:13" x14ac:dyDescent="0.25">
      <c r="B11" s="86" t="s">
        <v>8</v>
      </c>
      <c r="C11" s="86"/>
      <c r="D11" s="86"/>
      <c r="E11" s="86"/>
      <c r="F11" s="86"/>
      <c r="G11" s="86"/>
      <c r="H11" s="86"/>
    </row>
    <row r="12" spans="1:13" x14ac:dyDescent="0.25">
      <c r="B12" s="86" t="s">
        <v>9</v>
      </c>
      <c r="C12" s="86"/>
      <c r="D12" s="86"/>
      <c r="E12" s="86"/>
      <c r="F12" s="86"/>
      <c r="G12" s="86"/>
      <c r="H12" s="86"/>
    </row>
    <row r="14" spans="1:13" x14ac:dyDescent="0.25">
      <c r="A14" s="84" t="s">
        <v>10</v>
      </c>
      <c r="B14" s="84" t="s">
        <v>11</v>
      </c>
    </row>
    <row r="15" spans="1:13" x14ac:dyDescent="0.25">
      <c r="B15" t="s">
        <v>444</v>
      </c>
      <c r="C15"/>
      <c r="D15"/>
    </row>
    <row r="16" spans="1:13" x14ac:dyDescent="0.25">
      <c r="B16" t="s">
        <v>445</v>
      </c>
      <c r="C16"/>
      <c r="D16"/>
    </row>
    <row r="17" spans="1:8" x14ac:dyDescent="0.25">
      <c r="B17" t="s">
        <v>1377</v>
      </c>
      <c r="C17"/>
      <c r="D17"/>
    </row>
    <row r="18" spans="1:8" x14ac:dyDescent="0.25">
      <c r="B18" t="s">
        <v>446</v>
      </c>
      <c r="C18"/>
      <c r="D18"/>
    </row>
    <row r="19" spans="1:8" x14ac:dyDescent="0.25">
      <c r="B19" t="s">
        <v>447</v>
      </c>
      <c r="C19"/>
      <c r="D19"/>
    </row>
    <row r="20" spans="1:8" x14ac:dyDescent="0.25">
      <c r="B20" s="310" t="s">
        <v>1378</v>
      </c>
      <c r="C20"/>
      <c r="D20"/>
    </row>
    <row r="22" spans="1:8" x14ac:dyDescent="0.25">
      <c r="A22" s="84" t="s">
        <v>12</v>
      </c>
      <c r="B22" s="84" t="s">
        <v>13</v>
      </c>
    </row>
    <row r="23" spans="1:8" x14ac:dyDescent="0.25">
      <c r="B23" t="s">
        <v>444</v>
      </c>
      <c r="C23"/>
    </row>
    <row r="24" spans="1:8" x14ac:dyDescent="0.25">
      <c r="B24" t="s">
        <v>445</v>
      </c>
      <c r="C24"/>
    </row>
    <row r="25" spans="1:8" x14ac:dyDescent="0.25">
      <c r="B25" t="s">
        <v>1379</v>
      </c>
      <c r="C25"/>
    </row>
    <row r="26" spans="1:8" x14ac:dyDescent="0.25">
      <c r="B26" t="s">
        <v>446</v>
      </c>
      <c r="C26"/>
    </row>
    <row r="27" spans="1:8" x14ac:dyDescent="0.25">
      <c r="B27" t="s">
        <v>447</v>
      </c>
      <c r="C27"/>
    </row>
    <row r="28" spans="1:8" x14ac:dyDescent="0.25">
      <c r="B28" s="310" t="s">
        <v>1378</v>
      </c>
      <c r="C28"/>
    </row>
    <row r="30" spans="1:8" x14ac:dyDescent="0.25">
      <c r="A30" s="84" t="s">
        <v>15</v>
      </c>
      <c r="B30" s="84" t="s">
        <v>16</v>
      </c>
    </row>
    <row r="31" spans="1:8" x14ac:dyDescent="0.25">
      <c r="B31" t="s">
        <v>444</v>
      </c>
      <c r="D31"/>
      <c r="E31"/>
      <c r="H31"/>
    </row>
    <row r="32" spans="1:8" x14ac:dyDescent="0.25">
      <c r="B32" t="s">
        <v>449</v>
      </c>
      <c r="C32" t="s">
        <v>448</v>
      </c>
      <c r="D32"/>
      <c r="E32"/>
      <c r="H32"/>
    </row>
    <row r="33" spans="1:13" x14ac:dyDescent="0.25">
      <c r="B33" t="s">
        <v>1380</v>
      </c>
      <c r="C33" t="s">
        <v>1381</v>
      </c>
      <c r="D33" s="68"/>
      <c r="E33"/>
      <c r="H33"/>
    </row>
    <row r="34" spans="1:13" x14ac:dyDescent="0.25">
      <c r="B34" t="s">
        <v>446</v>
      </c>
      <c r="C34" t="s">
        <v>450</v>
      </c>
      <c r="D34"/>
      <c r="E34"/>
      <c r="H34"/>
    </row>
    <row r="35" spans="1:13" x14ac:dyDescent="0.25">
      <c r="B35" t="s">
        <v>447</v>
      </c>
      <c r="C35" s="4" t="s">
        <v>1382</v>
      </c>
      <c r="D35"/>
      <c r="E35"/>
      <c r="H35" s="70"/>
    </row>
    <row r="36" spans="1:13" x14ac:dyDescent="0.25">
      <c r="B36" s="311" t="s">
        <v>1383</v>
      </c>
      <c r="C36"/>
      <c r="D36"/>
      <c r="E36"/>
      <c r="F36"/>
      <c r="G36"/>
      <c r="H36"/>
    </row>
    <row r="38" spans="1:13" x14ac:dyDescent="0.25">
      <c r="A38" s="84" t="s">
        <v>17</v>
      </c>
      <c r="B38" s="84" t="s">
        <v>18</v>
      </c>
    </row>
    <row r="39" spans="1:13" x14ac:dyDescent="0.25">
      <c r="B39" t="s">
        <v>451</v>
      </c>
      <c r="C39"/>
      <c r="D39" s="1"/>
      <c r="E39" s="86"/>
      <c r="F39" s="86"/>
      <c r="G39" s="86"/>
      <c r="H39" s="86"/>
      <c r="I39" s="86"/>
      <c r="J39" s="86"/>
      <c r="K39" s="86"/>
      <c r="L39" s="86"/>
      <c r="M39" s="86"/>
    </row>
    <row r="40" spans="1:13" x14ac:dyDescent="0.25">
      <c r="B40" t="s">
        <v>452</v>
      </c>
      <c r="C40"/>
      <c r="D40" s="1"/>
      <c r="E40" s="86"/>
      <c r="F40" s="86"/>
      <c r="G40" s="86"/>
      <c r="H40" s="86"/>
      <c r="I40" s="86"/>
      <c r="J40" s="86"/>
      <c r="K40" s="86"/>
      <c r="L40" s="86"/>
      <c r="M40" s="86"/>
    </row>
    <row r="41" spans="1:13" x14ac:dyDescent="0.25">
      <c r="B41" t="s">
        <v>1384</v>
      </c>
      <c r="C41"/>
      <c r="D41" s="1"/>
      <c r="E41" s="86"/>
      <c r="F41" s="86"/>
      <c r="G41" s="86"/>
      <c r="H41" s="86"/>
      <c r="I41" s="86"/>
      <c r="J41" s="86"/>
      <c r="K41" s="86"/>
      <c r="L41" s="86"/>
      <c r="M41" s="86"/>
    </row>
    <row r="42" spans="1:13" x14ac:dyDescent="0.25">
      <c r="B42" t="s">
        <v>446</v>
      </c>
      <c r="C42"/>
      <c r="D42"/>
    </row>
    <row r="43" spans="1:13" x14ac:dyDescent="0.25">
      <c r="B43" t="s">
        <v>447</v>
      </c>
      <c r="C43"/>
      <c r="D43"/>
    </row>
    <row r="44" spans="1:13" x14ac:dyDescent="0.25">
      <c r="B44" s="310" t="s">
        <v>453</v>
      </c>
      <c r="C44" s="4"/>
      <c r="D44"/>
    </row>
    <row r="46" spans="1:13" x14ac:dyDescent="0.25">
      <c r="A46" s="84" t="s">
        <v>20</v>
      </c>
      <c r="B46" s="84" t="s">
        <v>21</v>
      </c>
    </row>
    <row r="47" spans="1:13" x14ac:dyDescent="0.25">
      <c r="B47" t="s">
        <v>451</v>
      </c>
      <c r="C47" t="s">
        <v>454</v>
      </c>
      <c r="D47"/>
      <c r="E47"/>
      <c r="F47"/>
      <c r="G47"/>
      <c r="H47"/>
    </row>
    <row r="48" spans="1:13" x14ac:dyDescent="0.25">
      <c r="B48" t="s">
        <v>455</v>
      </c>
      <c r="C48" t="s">
        <v>456</v>
      </c>
      <c r="D48"/>
      <c r="E48"/>
      <c r="F48"/>
      <c r="G48"/>
      <c r="H48"/>
    </row>
    <row r="49" spans="1:13" x14ac:dyDescent="0.25">
      <c r="B49" t="s">
        <v>1385</v>
      </c>
      <c r="C49" t="s">
        <v>457</v>
      </c>
      <c r="D49"/>
      <c r="E49"/>
      <c r="F49"/>
      <c r="G49"/>
      <c r="H49"/>
    </row>
    <row r="50" spans="1:13" x14ac:dyDescent="0.25">
      <c r="B50" t="s">
        <v>1386</v>
      </c>
      <c r="C50" s="4" t="s">
        <v>458</v>
      </c>
      <c r="D50" s="4"/>
      <c r="E50"/>
      <c r="F50"/>
      <c r="G50"/>
      <c r="H50"/>
    </row>
    <row r="51" spans="1:13" x14ac:dyDescent="0.25">
      <c r="B51" t="s">
        <v>447</v>
      </c>
      <c r="C51"/>
      <c r="D51"/>
      <c r="E51"/>
      <c r="F51"/>
      <c r="G51"/>
      <c r="H51"/>
      <c r="I51"/>
      <c r="J51"/>
      <c r="K51"/>
    </row>
    <row r="52" spans="1:13" x14ac:dyDescent="0.25">
      <c r="B52" s="310" t="s">
        <v>459</v>
      </c>
      <c r="C52"/>
      <c r="D52"/>
      <c r="E52"/>
      <c r="F52" s="4"/>
      <c r="G52" s="68"/>
      <c r="H52"/>
      <c r="I52"/>
      <c r="J52"/>
      <c r="K52"/>
    </row>
    <row r="53" spans="1:13" x14ac:dyDescent="0.25">
      <c r="B53" s="86"/>
      <c r="C53" s="86"/>
      <c r="D53" s="86"/>
      <c r="E53" s="86"/>
      <c r="F53" s="86"/>
      <c r="G53" s="86"/>
      <c r="H53" s="86"/>
      <c r="I53" s="86"/>
      <c r="J53" s="86"/>
      <c r="K53" s="86"/>
      <c r="L53" s="86"/>
      <c r="M53" s="86"/>
    </row>
    <row r="54" spans="1:13" x14ac:dyDescent="0.25">
      <c r="A54" s="84" t="s">
        <v>22</v>
      </c>
      <c r="B54" s="84" t="s">
        <v>23</v>
      </c>
    </row>
    <row r="55" spans="1:13" ht="40.5" x14ac:dyDescent="0.25">
      <c r="B55" s="312" t="s">
        <v>24</v>
      </c>
      <c r="C55" s="312"/>
      <c r="D55" s="312"/>
      <c r="E55" s="312"/>
      <c r="F55" s="312"/>
      <c r="G55" s="312"/>
      <c r="H55" s="312"/>
      <c r="I55" s="312"/>
      <c r="J55" s="312"/>
      <c r="K55" s="312"/>
      <c r="L55" s="86"/>
      <c r="M55" s="86"/>
    </row>
    <row r="56" spans="1:13" x14ac:dyDescent="0.25">
      <c r="B56" t="s">
        <v>460</v>
      </c>
      <c r="C56"/>
      <c r="D56"/>
      <c r="E56" s="88"/>
      <c r="F56" s="88"/>
      <c r="G56" s="88"/>
      <c r="H56" s="88"/>
      <c r="I56" s="88"/>
      <c r="J56" s="88"/>
      <c r="K56" s="88"/>
      <c r="L56" s="86"/>
      <c r="M56" s="86"/>
    </row>
    <row r="57" spans="1:13" x14ac:dyDescent="0.25">
      <c r="B57" t="s">
        <v>461</v>
      </c>
      <c r="C57"/>
      <c r="D57"/>
    </row>
    <row r="58" spans="1:13" x14ac:dyDescent="0.25">
      <c r="B58" t="s">
        <v>1387</v>
      </c>
      <c r="C58"/>
      <c r="D58"/>
    </row>
    <row r="59" spans="1:13" x14ac:dyDescent="0.25">
      <c r="B59" t="s">
        <v>446</v>
      </c>
      <c r="C59"/>
      <c r="D59"/>
    </row>
    <row r="60" spans="1:13" x14ac:dyDescent="0.25">
      <c r="B60" t="s">
        <v>447</v>
      </c>
      <c r="C60"/>
      <c r="D60"/>
    </row>
    <row r="61" spans="1:13" x14ac:dyDescent="0.25">
      <c r="B61" s="310" t="s">
        <v>1388</v>
      </c>
      <c r="C61"/>
      <c r="D61"/>
    </row>
    <row r="64" spans="1:13" x14ac:dyDescent="0.25">
      <c r="B64" s="86"/>
      <c r="C64" s="86"/>
      <c r="D64" s="86"/>
      <c r="E64" s="86"/>
      <c r="F64" s="86"/>
      <c r="G64" s="86"/>
      <c r="H64" s="86"/>
      <c r="I64" s="86"/>
      <c r="J64" s="86"/>
      <c r="K64" s="86"/>
      <c r="L64" s="86"/>
      <c r="M64" s="86"/>
    </row>
    <row r="65" spans="2:13" x14ac:dyDescent="0.25">
      <c r="B65" s="86"/>
      <c r="C65" s="86"/>
      <c r="D65" s="86"/>
      <c r="E65" s="86"/>
      <c r="F65" s="86"/>
      <c r="G65" s="86"/>
      <c r="H65" s="86"/>
      <c r="I65" s="86"/>
      <c r="J65" s="86"/>
      <c r="K65" s="86"/>
      <c r="L65" s="86"/>
      <c r="M65" s="86"/>
    </row>
    <row r="66" spans="2:13" x14ac:dyDescent="0.25">
      <c r="B66" s="86"/>
      <c r="C66" s="86"/>
      <c r="D66" s="86"/>
      <c r="E66" s="86"/>
      <c r="F66" s="86"/>
      <c r="G66" s="86"/>
      <c r="H66" s="86"/>
      <c r="I66" s="86"/>
      <c r="J66" s="86"/>
      <c r="K66" s="86"/>
      <c r="L66" s="86"/>
      <c r="M66" s="86"/>
    </row>
  </sheetData>
  <mergeCells count="2">
    <mergeCell ref="A1:C1"/>
    <mergeCell ref="A3:C6"/>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A5E79-3513-47D6-9A39-93391A9CEFA7}">
  <dimension ref="A1:M80"/>
  <sheetViews>
    <sheetView workbookViewId="0">
      <selection sqref="A1:XFD1048576"/>
    </sheetView>
  </sheetViews>
  <sheetFormatPr defaultRowHeight="15" x14ac:dyDescent="0.25"/>
  <cols>
    <col min="1" max="16384" width="9.140625" style="84"/>
  </cols>
  <sheetData>
    <row r="1" spans="1:13" ht="21" x14ac:dyDescent="0.35">
      <c r="A1" s="457" t="s">
        <v>1389</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2" x14ac:dyDescent="0.25">
      <c r="A17" s="84" t="s">
        <v>10</v>
      </c>
      <c r="B17" s="84" t="s">
        <v>11</v>
      </c>
    </row>
    <row r="19" spans="1:2" x14ac:dyDescent="0.25">
      <c r="A19" s="84" t="s">
        <v>1390</v>
      </c>
    </row>
    <row r="27" spans="1:2" x14ac:dyDescent="0.25">
      <c r="A27" s="84" t="s">
        <v>12</v>
      </c>
      <c r="B27" s="84" t="s">
        <v>13</v>
      </c>
    </row>
    <row r="29" spans="1:2" x14ac:dyDescent="0.25">
      <c r="A29" s="84" t="s">
        <v>1391</v>
      </c>
    </row>
    <row r="37" spans="1:2" x14ac:dyDescent="0.25">
      <c r="A37" s="84" t="s">
        <v>15</v>
      </c>
      <c r="B37" s="84" t="s">
        <v>16</v>
      </c>
    </row>
    <row r="39" spans="1:2" x14ac:dyDescent="0.25">
      <c r="A39" s="84" t="s">
        <v>1392</v>
      </c>
    </row>
    <row r="47" spans="1:2" x14ac:dyDescent="0.25">
      <c r="A47" s="84" t="s">
        <v>17</v>
      </c>
      <c r="B47" s="84" t="s">
        <v>18</v>
      </c>
    </row>
    <row r="49" spans="1:13" x14ac:dyDescent="0.25">
      <c r="A49" s="84" t="s">
        <v>1393</v>
      </c>
      <c r="B49" s="86"/>
      <c r="C49" s="86"/>
      <c r="D49" s="86"/>
      <c r="E49" s="86"/>
      <c r="F49" s="86"/>
      <c r="G49" s="86"/>
      <c r="H49" s="86"/>
      <c r="I49" s="86"/>
      <c r="J49" s="86"/>
      <c r="K49" s="86"/>
      <c r="L49" s="86"/>
      <c r="M49" s="86"/>
    </row>
    <row r="50" spans="1:13" x14ac:dyDescent="0.25">
      <c r="B50" s="86"/>
      <c r="C50" s="86"/>
      <c r="D50" s="86"/>
      <c r="E50" s="86"/>
      <c r="F50" s="86"/>
      <c r="G50" s="86"/>
      <c r="H50" s="86"/>
      <c r="I50" s="86"/>
      <c r="J50" s="86"/>
      <c r="K50" s="86"/>
      <c r="L50" s="86"/>
      <c r="M50" s="86"/>
    </row>
    <row r="51" spans="1:13" x14ac:dyDescent="0.25">
      <c r="B51" s="86"/>
      <c r="C51" s="86"/>
      <c r="D51" s="86"/>
      <c r="E51" s="86"/>
      <c r="F51" s="86"/>
      <c r="G51" s="86"/>
      <c r="H51" s="86"/>
      <c r="I51" s="86"/>
      <c r="J51" s="86"/>
      <c r="K51" s="86"/>
      <c r="L51" s="86"/>
      <c r="M51" s="86"/>
    </row>
    <row r="57" spans="1:13" x14ac:dyDescent="0.25">
      <c r="A57" s="84" t="s">
        <v>20</v>
      </c>
      <c r="B57" s="84" t="s">
        <v>21</v>
      </c>
    </row>
    <row r="59" spans="1:13" x14ac:dyDescent="0.25">
      <c r="A59" s="84" t="s">
        <v>1394</v>
      </c>
    </row>
    <row r="65" spans="1:13" x14ac:dyDescent="0.25">
      <c r="B65" s="86"/>
      <c r="C65" s="86"/>
      <c r="D65" s="86"/>
      <c r="E65" s="86"/>
      <c r="F65" s="86"/>
      <c r="G65" s="86"/>
      <c r="H65" s="86"/>
      <c r="I65" s="86"/>
      <c r="J65" s="86"/>
      <c r="K65" s="86"/>
      <c r="L65" s="86"/>
      <c r="M65" s="86"/>
    </row>
    <row r="66" spans="1:13" x14ac:dyDescent="0.25">
      <c r="B66" s="86"/>
      <c r="C66" s="86"/>
      <c r="D66" s="86"/>
      <c r="E66" s="86"/>
      <c r="F66" s="86"/>
      <c r="G66" s="86"/>
      <c r="H66" s="86"/>
      <c r="I66" s="86"/>
      <c r="J66" s="86"/>
      <c r="K66" s="86"/>
      <c r="L66" s="86"/>
      <c r="M66" s="86"/>
    </row>
    <row r="67" spans="1:13" x14ac:dyDescent="0.25">
      <c r="A67" s="84" t="s">
        <v>22</v>
      </c>
      <c r="B67" s="84" t="s">
        <v>23</v>
      </c>
    </row>
    <row r="68" spans="1:13" ht="40.5" customHeight="1" x14ac:dyDescent="0.25">
      <c r="B68" s="459" t="s">
        <v>24</v>
      </c>
      <c r="C68" s="459"/>
      <c r="D68" s="459"/>
      <c r="E68" s="459"/>
      <c r="F68" s="459"/>
      <c r="G68" s="459"/>
      <c r="H68" s="459"/>
      <c r="I68" s="459"/>
      <c r="J68" s="459"/>
      <c r="K68" s="459"/>
      <c r="L68" s="86"/>
      <c r="M68" s="86"/>
    </row>
    <row r="69" spans="1:13" x14ac:dyDescent="0.25">
      <c r="B69" s="88"/>
      <c r="C69" s="88"/>
      <c r="D69" s="88"/>
      <c r="E69" s="88"/>
      <c r="F69" s="88"/>
      <c r="G69" s="88"/>
      <c r="H69" s="88"/>
      <c r="I69" s="88"/>
      <c r="J69" s="88"/>
      <c r="K69" s="88"/>
      <c r="L69" s="86"/>
      <c r="M69" s="86"/>
    </row>
    <row r="70" spans="1:13" x14ac:dyDescent="0.25">
      <c r="A70" s="84" t="s">
        <v>1395</v>
      </c>
      <c r="B70" s="88"/>
      <c r="C70" s="88"/>
      <c r="D70" s="88"/>
      <c r="E70" s="88"/>
      <c r="F70" s="88"/>
      <c r="G70" s="88"/>
      <c r="H70" s="88"/>
      <c r="I70" s="88"/>
      <c r="J70" s="88"/>
      <c r="K70" s="88"/>
      <c r="L70" s="86"/>
      <c r="M70" s="86"/>
    </row>
    <row r="78" spans="1:13" x14ac:dyDescent="0.25">
      <c r="B78" s="86"/>
      <c r="C78" s="86"/>
      <c r="D78" s="86"/>
      <c r="E78" s="86"/>
      <c r="F78" s="86"/>
      <c r="G78" s="86"/>
      <c r="H78" s="86"/>
      <c r="I78" s="86"/>
      <c r="J78" s="86"/>
      <c r="K78" s="86"/>
      <c r="L78" s="86"/>
      <c r="M78" s="86"/>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sheetData>
  <mergeCells count="3">
    <mergeCell ref="A1:I1"/>
    <mergeCell ref="A3:K6"/>
    <mergeCell ref="B68:K68"/>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B472F-64F8-4C5E-87FF-B708CDF693CC}">
  <dimension ref="A1:M179"/>
  <sheetViews>
    <sheetView workbookViewId="0">
      <selection sqref="A1:XFD1048576"/>
    </sheetView>
  </sheetViews>
  <sheetFormatPr defaultRowHeight="15" x14ac:dyDescent="0.25"/>
  <cols>
    <col min="1" max="3" width="9.140625" style="84"/>
    <col min="4" max="4" width="20.7109375" style="84" customWidth="1"/>
    <col min="5" max="6" width="9.140625" style="84"/>
    <col min="7" max="7" width="11.140625" style="84" bestFit="1" customWidth="1"/>
    <col min="8" max="16384" width="9.140625" style="84"/>
  </cols>
  <sheetData>
    <row r="1" spans="1:13" ht="21" x14ac:dyDescent="0.35">
      <c r="A1" s="457" t="s">
        <v>1396</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9" x14ac:dyDescent="0.25">
      <c r="A17" s="84" t="s">
        <v>10</v>
      </c>
      <c r="B17" s="84" t="s">
        <v>11</v>
      </c>
    </row>
    <row r="19" spans="1:9" x14ac:dyDescent="0.25">
      <c r="B19" t="s">
        <v>25</v>
      </c>
      <c r="C19"/>
      <c r="D19"/>
      <c r="E19"/>
      <c r="F19"/>
      <c r="G19"/>
      <c r="H19"/>
      <c r="I19"/>
    </row>
    <row r="20" spans="1:9" x14ac:dyDescent="0.25">
      <c r="B20"/>
      <c r="C20" s="76" t="s">
        <v>256</v>
      </c>
      <c r="D20"/>
      <c r="E20"/>
      <c r="F20"/>
      <c r="G20" s="242">
        <v>1360</v>
      </c>
      <c r="H20"/>
      <c r="I20"/>
    </row>
    <row r="21" spans="1:9" x14ac:dyDescent="0.25">
      <c r="B21"/>
      <c r="C21" s="76" t="s">
        <v>257</v>
      </c>
      <c r="D21"/>
      <c r="E21"/>
      <c r="F21"/>
      <c r="G21">
        <v>1.695E-2</v>
      </c>
      <c r="H21"/>
      <c r="I21"/>
    </row>
    <row r="22" spans="1:9" x14ac:dyDescent="0.25">
      <c r="B22"/>
      <c r="C22" s="76" t="s">
        <v>462</v>
      </c>
      <c r="D22"/>
      <c r="E22"/>
      <c r="F22"/>
      <c r="G22" s="313">
        <f>SUM(12/12)</f>
        <v>1</v>
      </c>
      <c r="H22"/>
      <c r="I22"/>
    </row>
    <row r="23" spans="1:9" x14ac:dyDescent="0.25">
      <c r="B23"/>
      <c r="C23" s="76" t="s">
        <v>463</v>
      </c>
      <c r="D23"/>
      <c r="E23"/>
      <c r="F23"/>
      <c r="G23" s="251">
        <f>SUM(G20*G21*G22)</f>
        <v>23.052</v>
      </c>
      <c r="H23"/>
      <c r="I23"/>
    </row>
    <row r="24" spans="1:9" x14ac:dyDescent="0.25">
      <c r="B24" s="76" t="s">
        <v>14</v>
      </c>
      <c r="C24"/>
      <c r="D24"/>
      <c r="E24"/>
      <c r="F24"/>
      <c r="G24"/>
      <c r="H24"/>
      <c r="I24"/>
    </row>
    <row r="25" spans="1:9" x14ac:dyDescent="0.25">
      <c r="B25" t="s">
        <v>464</v>
      </c>
      <c r="C25"/>
      <c r="D25"/>
      <c r="E25"/>
      <c r="F25"/>
      <c r="G25"/>
      <c r="H25"/>
      <c r="I25"/>
    </row>
    <row r="26" spans="1:9" x14ac:dyDescent="0.25">
      <c r="B26"/>
      <c r="C26" s="76" t="s">
        <v>465</v>
      </c>
      <c r="D26"/>
      <c r="E26"/>
      <c r="F26"/>
      <c r="G26" s="242">
        <v>141000</v>
      </c>
      <c r="H26"/>
      <c r="I26" t="s">
        <v>466</v>
      </c>
    </row>
    <row r="27" spans="1:9" x14ac:dyDescent="0.25">
      <c r="B27"/>
      <c r="C27" s="76" t="s">
        <v>467</v>
      </c>
      <c r="D27"/>
      <c r="E27"/>
      <c r="F27"/>
      <c r="G27" s="242">
        <v>134852</v>
      </c>
      <c r="H27"/>
      <c r="I27"/>
    </row>
    <row r="28" spans="1:9" x14ac:dyDescent="0.25">
      <c r="B28"/>
      <c r="C28" s="76" t="s">
        <v>468</v>
      </c>
      <c r="D28"/>
      <c r="E28"/>
      <c r="F28"/>
      <c r="G28">
        <v>6.5799999999999999E-3</v>
      </c>
      <c r="H28"/>
      <c r="I28"/>
    </row>
    <row r="29" spans="1:9" x14ac:dyDescent="0.25">
      <c r="B29"/>
      <c r="C29" s="76" t="s">
        <v>469</v>
      </c>
      <c r="D29"/>
      <c r="E29"/>
      <c r="F29"/>
      <c r="G29" s="242">
        <f>SUM(G26*G28)</f>
        <v>927.78</v>
      </c>
      <c r="H29"/>
      <c r="I29"/>
    </row>
    <row r="30" spans="1:9" x14ac:dyDescent="0.25">
      <c r="B30"/>
      <c r="C30" s="76" t="s">
        <v>470</v>
      </c>
      <c r="D30"/>
      <c r="E30"/>
      <c r="F30"/>
      <c r="G30" s="242">
        <v>928</v>
      </c>
      <c r="H30"/>
      <c r="I30"/>
    </row>
    <row r="31" spans="1:9" x14ac:dyDescent="0.25">
      <c r="B31"/>
      <c r="C31" s="76" t="s">
        <v>257</v>
      </c>
      <c r="D31"/>
      <c r="E31"/>
      <c r="F31"/>
      <c r="G31">
        <v>1.695E-2</v>
      </c>
      <c r="H31"/>
      <c r="I31"/>
    </row>
    <row r="32" spans="1:9" x14ac:dyDescent="0.25">
      <c r="B32"/>
      <c r="C32" s="76" t="s">
        <v>462</v>
      </c>
      <c r="D32"/>
      <c r="E32"/>
      <c r="F32"/>
      <c r="G32" s="313">
        <f>SUM(12/12)</f>
        <v>1</v>
      </c>
      <c r="H32"/>
      <c r="I32"/>
    </row>
    <row r="33" spans="1:9" x14ac:dyDescent="0.25">
      <c r="B33"/>
      <c r="C33" s="76" t="s">
        <v>471</v>
      </c>
      <c r="D33"/>
      <c r="E33"/>
      <c r="F33"/>
      <c r="G33" s="251">
        <f>SUM(G30*G31*G32)</f>
        <v>15.7296</v>
      </c>
      <c r="H33"/>
      <c r="I33"/>
    </row>
    <row r="34" spans="1:9" x14ac:dyDescent="0.25">
      <c r="B34"/>
      <c r="C34"/>
      <c r="D34"/>
      <c r="E34"/>
      <c r="F34"/>
      <c r="G34"/>
      <c r="H34"/>
      <c r="I34"/>
    </row>
    <row r="35" spans="1:9" x14ac:dyDescent="0.25">
      <c r="B35" s="240" t="s">
        <v>472</v>
      </c>
      <c r="C35" s="240"/>
      <c r="D35" s="240"/>
      <c r="E35" s="240"/>
      <c r="F35" s="240"/>
      <c r="G35" s="241">
        <f>SUM(G23+G33)</f>
        <v>38.781599999999997</v>
      </c>
      <c r="H35"/>
      <c r="I35"/>
    </row>
    <row r="38" spans="1:9" x14ac:dyDescent="0.25">
      <c r="A38" s="84" t="s">
        <v>12</v>
      </c>
      <c r="B38" s="84" t="s">
        <v>13</v>
      </c>
    </row>
    <row r="40" spans="1:9" x14ac:dyDescent="0.25">
      <c r="B40" t="s">
        <v>25</v>
      </c>
      <c r="C40"/>
      <c r="D40"/>
      <c r="E40"/>
      <c r="F40"/>
      <c r="G40"/>
      <c r="H40"/>
      <c r="I40"/>
    </row>
    <row r="41" spans="1:9" x14ac:dyDescent="0.25">
      <c r="B41"/>
      <c r="C41" s="76" t="s">
        <v>256</v>
      </c>
      <c r="D41"/>
      <c r="E41"/>
      <c r="F41"/>
      <c r="G41" s="242">
        <v>1360</v>
      </c>
      <c r="H41"/>
      <c r="I41"/>
    </row>
    <row r="42" spans="1:9" x14ac:dyDescent="0.25">
      <c r="B42"/>
      <c r="C42" s="76" t="s">
        <v>257</v>
      </c>
      <c r="D42"/>
      <c r="E42"/>
      <c r="F42"/>
      <c r="G42">
        <v>1.695E-2</v>
      </c>
      <c r="H42"/>
      <c r="I42"/>
    </row>
    <row r="43" spans="1:9" x14ac:dyDescent="0.25">
      <c r="B43"/>
      <c r="C43" s="76" t="s">
        <v>462</v>
      </c>
      <c r="D43"/>
      <c r="E43"/>
      <c r="F43"/>
      <c r="G43" s="313">
        <f>SUM(12/12)</f>
        <v>1</v>
      </c>
      <c r="H43"/>
      <c r="I43"/>
    </row>
    <row r="44" spans="1:9" x14ac:dyDescent="0.25">
      <c r="B44"/>
      <c r="C44" s="76" t="s">
        <v>463</v>
      </c>
      <c r="D44"/>
      <c r="E44"/>
      <c r="F44"/>
      <c r="G44" s="251">
        <f>SUM(G41*G42*G43)</f>
        <v>23.052</v>
      </c>
      <c r="H44"/>
      <c r="I44"/>
    </row>
    <row r="45" spans="1:9" x14ac:dyDescent="0.25">
      <c r="B45" s="76" t="s">
        <v>14</v>
      </c>
      <c r="C45"/>
      <c r="D45"/>
      <c r="E45"/>
      <c r="F45"/>
      <c r="G45"/>
      <c r="H45"/>
      <c r="I45"/>
    </row>
    <row r="46" spans="1:9" x14ac:dyDescent="0.25">
      <c r="B46" t="s">
        <v>464</v>
      </c>
      <c r="C46"/>
      <c r="D46"/>
      <c r="E46"/>
      <c r="F46"/>
      <c r="G46"/>
      <c r="H46"/>
      <c r="I46"/>
    </row>
    <row r="47" spans="1:9" x14ac:dyDescent="0.25">
      <c r="B47"/>
      <c r="C47" s="76" t="s">
        <v>465</v>
      </c>
      <c r="D47"/>
      <c r="E47"/>
      <c r="F47"/>
      <c r="G47" s="242">
        <v>141000</v>
      </c>
      <c r="H47"/>
      <c r="I47" t="s">
        <v>466</v>
      </c>
    </row>
    <row r="48" spans="1:9" x14ac:dyDescent="0.25">
      <c r="B48"/>
      <c r="C48" s="76" t="s">
        <v>467</v>
      </c>
      <c r="D48"/>
      <c r="E48"/>
      <c r="F48"/>
      <c r="G48" s="242">
        <v>134852</v>
      </c>
      <c r="H48"/>
      <c r="I48"/>
    </row>
    <row r="49" spans="1:10" x14ac:dyDescent="0.25">
      <c r="B49"/>
      <c r="C49" s="76" t="s">
        <v>468</v>
      </c>
      <c r="D49"/>
      <c r="E49"/>
      <c r="F49"/>
      <c r="G49">
        <v>6.5799999999999999E-3</v>
      </c>
      <c r="H49"/>
      <c r="I49"/>
    </row>
    <row r="50" spans="1:10" x14ac:dyDescent="0.25">
      <c r="B50"/>
      <c r="C50" s="76" t="s">
        <v>469</v>
      </c>
      <c r="D50"/>
      <c r="E50"/>
      <c r="F50"/>
      <c r="G50" s="242">
        <f>SUM(G47*G49)</f>
        <v>927.78</v>
      </c>
      <c r="H50"/>
      <c r="I50"/>
    </row>
    <row r="51" spans="1:10" x14ac:dyDescent="0.25">
      <c r="B51"/>
      <c r="C51" s="76" t="s">
        <v>470</v>
      </c>
      <c r="D51"/>
      <c r="E51"/>
      <c r="F51"/>
      <c r="G51" s="242">
        <v>928</v>
      </c>
      <c r="H51"/>
      <c r="I51"/>
    </row>
    <row r="52" spans="1:10" x14ac:dyDescent="0.25">
      <c r="B52"/>
      <c r="C52" s="76" t="s">
        <v>257</v>
      </c>
      <c r="D52"/>
      <c r="E52"/>
      <c r="F52"/>
      <c r="G52">
        <v>1.695E-2</v>
      </c>
      <c r="H52"/>
      <c r="I52"/>
    </row>
    <row r="53" spans="1:10" x14ac:dyDescent="0.25">
      <c r="B53"/>
      <c r="C53" s="76" t="s">
        <v>462</v>
      </c>
      <c r="D53"/>
      <c r="E53"/>
      <c r="F53"/>
      <c r="G53" s="313">
        <f>SUM(12/12)</f>
        <v>1</v>
      </c>
      <c r="H53"/>
      <c r="I53"/>
    </row>
    <row r="54" spans="1:10" x14ac:dyDescent="0.25">
      <c r="B54"/>
      <c r="C54" s="76" t="s">
        <v>471</v>
      </c>
      <c r="D54"/>
      <c r="E54"/>
      <c r="F54"/>
      <c r="G54" s="251">
        <f>SUM(G51*G52*G53)</f>
        <v>15.7296</v>
      </c>
      <c r="H54"/>
      <c r="I54"/>
    </row>
    <row r="55" spans="1:10" x14ac:dyDescent="0.25">
      <c r="B55"/>
      <c r="C55"/>
      <c r="D55"/>
      <c r="E55"/>
      <c r="F55"/>
      <c r="G55"/>
      <c r="H55"/>
      <c r="I55"/>
    </row>
    <row r="56" spans="1:10" x14ac:dyDescent="0.25">
      <c r="B56" s="240" t="s">
        <v>472</v>
      </c>
      <c r="C56" s="240"/>
      <c r="D56" s="240"/>
      <c r="E56" s="240"/>
      <c r="F56" s="240"/>
      <c r="G56" s="241">
        <f>SUM(G44+G54)</f>
        <v>38.781599999999997</v>
      </c>
      <c r="H56"/>
      <c r="I56"/>
    </row>
    <row r="59" spans="1:10" x14ac:dyDescent="0.25">
      <c r="A59" s="84" t="s">
        <v>15</v>
      </c>
      <c r="B59" s="84" t="s">
        <v>16</v>
      </c>
    </row>
    <row r="61" spans="1:10" x14ac:dyDescent="0.25">
      <c r="B61" t="s">
        <v>264</v>
      </c>
      <c r="C61"/>
      <c r="D61"/>
      <c r="E61"/>
      <c r="F61"/>
      <c r="G61"/>
      <c r="H61"/>
      <c r="I61"/>
      <c r="J61"/>
    </row>
    <row r="62" spans="1:10" x14ac:dyDescent="0.25">
      <c r="B62"/>
      <c r="C62" s="76" t="s">
        <v>256</v>
      </c>
      <c r="D62"/>
      <c r="E62"/>
      <c r="F62"/>
      <c r="G62" s="242">
        <v>1360</v>
      </c>
      <c r="H62"/>
      <c r="I62"/>
      <c r="J62"/>
    </row>
    <row r="63" spans="1:10" x14ac:dyDescent="0.25">
      <c r="B63"/>
      <c r="C63" s="76" t="s">
        <v>257</v>
      </c>
      <c r="D63"/>
      <c r="E63"/>
      <c r="F63"/>
      <c r="G63">
        <v>1.695E-2</v>
      </c>
      <c r="H63"/>
      <c r="I63"/>
      <c r="J63"/>
    </row>
    <row r="64" spans="1:10" x14ac:dyDescent="0.25">
      <c r="B64"/>
      <c r="C64" s="76" t="s">
        <v>265</v>
      </c>
      <c r="D64"/>
      <c r="E64"/>
      <c r="F64"/>
      <c r="G64" s="313">
        <f>SUM(9/12)</f>
        <v>0.75</v>
      </c>
      <c r="H64"/>
      <c r="I64"/>
      <c r="J64"/>
    </row>
    <row r="65" spans="2:10" x14ac:dyDescent="0.25">
      <c r="B65"/>
      <c r="C65" s="76" t="s">
        <v>266</v>
      </c>
      <c r="D65"/>
      <c r="E65"/>
      <c r="F65"/>
      <c r="G65" s="314">
        <f>SUM(0-(G62*G63*G64))</f>
        <v>-17.289000000000001</v>
      </c>
      <c r="H65"/>
      <c r="I65"/>
      <c r="J65"/>
    </row>
    <row r="66" spans="2:10" x14ac:dyDescent="0.25">
      <c r="B66"/>
      <c r="C66"/>
      <c r="D66"/>
      <c r="E66"/>
      <c r="F66"/>
      <c r="G66"/>
      <c r="H66"/>
      <c r="I66"/>
      <c r="J66"/>
    </row>
    <row r="67" spans="2:10" x14ac:dyDescent="0.25">
      <c r="B67" t="s">
        <v>267</v>
      </c>
      <c r="C67"/>
      <c r="D67"/>
      <c r="E67"/>
      <c r="F67"/>
      <c r="G67"/>
      <c r="H67"/>
      <c r="I67"/>
      <c r="J67"/>
    </row>
    <row r="68" spans="2:10" x14ac:dyDescent="0.25">
      <c r="B68"/>
      <c r="C68" s="76" t="s">
        <v>256</v>
      </c>
      <c r="D68"/>
      <c r="E68"/>
      <c r="F68"/>
      <c r="G68" s="242">
        <v>1360</v>
      </c>
      <c r="H68"/>
      <c r="I68"/>
      <c r="J68"/>
    </row>
    <row r="69" spans="2:10" x14ac:dyDescent="0.25">
      <c r="B69"/>
      <c r="C69" s="76" t="s">
        <v>257</v>
      </c>
      <c r="D69"/>
      <c r="E69"/>
      <c r="F69"/>
      <c r="G69">
        <v>1.695E-2</v>
      </c>
      <c r="H69"/>
      <c r="I69"/>
      <c r="J69"/>
    </row>
    <row r="70" spans="2:10" x14ac:dyDescent="0.25">
      <c r="B70"/>
      <c r="C70" s="76" t="s">
        <v>265</v>
      </c>
      <c r="D70"/>
      <c r="E70"/>
      <c r="F70"/>
      <c r="G70" s="313">
        <f>SUM(9/12)</f>
        <v>0.75</v>
      </c>
      <c r="H70"/>
      <c r="I70"/>
      <c r="J70"/>
    </row>
    <row r="71" spans="2:10" x14ac:dyDescent="0.25">
      <c r="B71"/>
      <c r="C71" s="76" t="s">
        <v>463</v>
      </c>
      <c r="D71"/>
      <c r="E71"/>
      <c r="F71"/>
      <c r="G71" s="251">
        <f>SUM(G68*G69*G70)</f>
        <v>17.289000000000001</v>
      </c>
      <c r="H71"/>
      <c r="I71"/>
      <c r="J71"/>
    </row>
    <row r="72" spans="2:10" x14ac:dyDescent="0.25">
      <c r="B72"/>
      <c r="C72"/>
      <c r="D72"/>
      <c r="E72"/>
      <c r="F72"/>
      <c r="G72"/>
      <c r="H72"/>
      <c r="I72"/>
      <c r="J72"/>
    </row>
    <row r="73" spans="2:10" x14ac:dyDescent="0.25">
      <c r="B73" t="s">
        <v>473</v>
      </c>
      <c r="C73"/>
      <c r="D73"/>
      <c r="E73"/>
      <c r="F73"/>
      <c r="G73"/>
      <c r="H73"/>
      <c r="I73"/>
      <c r="J73"/>
    </row>
    <row r="74" spans="2:10" x14ac:dyDescent="0.25">
      <c r="B74"/>
      <c r="C74" s="76" t="s">
        <v>474</v>
      </c>
      <c r="D74"/>
      <c r="E74"/>
      <c r="F74"/>
      <c r="G74" s="242">
        <v>141000</v>
      </c>
      <c r="H74"/>
      <c r="I74" t="s">
        <v>466</v>
      </c>
      <c r="J74"/>
    </row>
    <row r="75" spans="2:10" x14ac:dyDescent="0.25">
      <c r="B75"/>
      <c r="C75" s="76" t="s">
        <v>467</v>
      </c>
      <c r="D75"/>
      <c r="E75"/>
      <c r="F75"/>
      <c r="G75" s="242">
        <v>134852</v>
      </c>
      <c r="H75"/>
      <c r="I75"/>
      <c r="J75"/>
    </row>
    <row r="76" spans="2:10" x14ac:dyDescent="0.25">
      <c r="B76"/>
      <c r="C76" s="76" t="s">
        <v>468</v>
      </c>
      <c r="D76"/>
      <c r="E76"/>
      <c r="F76"/>
      <c r="G76">
        <v>6.5799999999999999E-3</v>
      </c>
      <c r="H76"/>
      <c r="I76"/>
      <c r="J76"/>
    </row>
    <row r="77" spans="2:10" x14ac:dyDescent="0.25">
      <c r="B77"/>
      <c r="C77" s="76" t="s">
        <v>469</v>
      </c>
      <c r="D77"/>
      <c r="E77"/>
      <c r="F77"/>
      <c r="G77" s="242">
        <f>SUM(G74*G76)</f>
        <v>927.78</v>
      </c>
      <c r="H77"/>
      <c r="I77"/>
      <c r="J77"/>
    </row>
    <row r="78" spans="2:10" x14ac:dyDescent="0.25">
      <c r="B78"/>
      <c r="C78" s="76" t="s">
        <v>470</v>
      </c>
      <c r="D78"/>
      <c r="E78"/>
      <c r="F78"/>
      <c r="G78" s="242">
        <v>928</v>
      </c>
      <c r="H78"/>
      <c r="I78"/>
      <c r="J78"/>
    </row>
    <row r="79" spans="2:10" x14ac:dyDescent="0.25">
      <c r="B79"/>
      <c r="C79" s="76" t="s">
        <v>257</v>
      </c>
      <c r="D79"/>
      <c r="E79"/>
      <c r="F79"/>
      <c r="G79">
        <v>1.695E-2</v>
      </c>
      <c r="H79"/>
      <c r="I79"/>
      <c r="J79"/>
    </row>
    <row r="80" spans="2:10" x14ac:dyDescent="0.25">
      <c r="B80"/>
      <c r="C80" s="76" t="s">
        <v>265</v>
      </c>
      <c r="D80"/>
      <c r="E80"/>
      <c r="F80"/>
      <c r="G80" s="313">
        <f>SUM(9/12)</f>
        <v>0.75</v>
      </c>
      <c r="H80"/>
      <c r="I80"/>
      <c r="J80"/>
    </row>
    <row r="81" spans="2:10" x14ac:dyDescent="0.25">
      <c r="B81"/>
      <c r="C81" s="76" t="s">
        <v>475</v>
      </c>
      <c r="D81"/>
      <c r="E81"/>
      <c r="F81"/>
      <c r="G81" s="315">
        <f>SUM(0-(G78*G79*G80))</f>
        <v>-11.7972</v>
      </c>
      <c r="H81"/>
      <c r="I81"/>
      <c r="J81"/>
    </row>
    <row r="82" spans="2:10" x14ac:dyDescent="0.25">
      <c r="B82"/>
      <c r="C82" s="76" t="s">
        <v>476</v>
      </c>
      <c r="D82"/>
      <c r="E82"/>
      <c r="F82"/>
      <c r="G82" s="314">
        <v>-11.8</v>
      </c>
      <c r="H82"/>
      <c r="I82"/>
      <c r="J82"/>
    </row>
    <row r="83" spans="2:10" x14ac:dyDescent="0.25">
      <c r="B83"/>
      <c r="C83"/>
      <c r="D83"/>
      <c r="E83"/>
      <c r="F83"/>
      <c r="G83"/>
      <c r="H83"/>
      <c r="I83"/>
      <c r="J83"/>
    </row>
    <row r="84" spans="2:10" x14ac:dyDescent="0.25">
      <c r="B84" t="s">
        <v>477</v>
      </c>
      <c r="C84"/>
      <c r="D84"/>
      <c r="E84"/>
      <c r="F84"/>
      <c r="G84"/>
      <c r="H84"/>
      <c r="I84"/>
      <c r="J84"/>
    </row>
    <row r="85" spans="2:10" x14ac:dyDescent="0.25">
      <c r="B85"/>
      <c r="C85" s="76" t="s">
        <v>478</v>
      </c>
      <c r="D85"/>
      <c r="E85"/>
      <c r="F85"/>
      <c r="G85" s="242">
        <v>201000</v>
      </c>
      <c r="H85"/>
      <c r="I85" t="s">
        <v>466</v>
      </c>
      <c r="J85"/>
    </row>
    <row r="86" spans="2:10" x14ac:dyDescent="0.25">
      <c r="B86"/>
      <c r="C86" s="76" t="s">
        <v>479</v>
      </c>
      <c r="D86"/>
      <c r="E86"/>
      <c r="F86"/>
      <c r="G86" s="242">
        <v>136875</v>
      </c>
      <c r="H86"/>
      <c r="I86"/>
      <c r="J86"/>
    </row>
    <row r="87" spans="2:10" x14ac:dyDescent="0.25">
      <c r="B87"/>
      <c r="C87" s="76" t="s">
        <v>480</v>
      </c>
      <c r="D87"/>
      <c r="E87"/>
      <c r="F87"/>
      <c r="G87">
        <v>7.9799999999999992E-3</v>
      </c>
      <c r="H87"/>
      <c r="I87"/>
      <c r="J87"/>
    </row>
    <row r="88" spans="2:10" x14ac:dyDescent="0.25">
      <c r="B88"/>
      <c r="C88" s="76" t="s">
        <v>469</v>
      </c>
      <c r="D88"/>
      <c r="E88"/>
      <c r="F88"/>
      <c r="G88" s="242">
        <f>SUM(G85*G87)</f>
        <v>1603.9799999999998</v>
      </c>
      <c r="H88"/>
      <c r="I88"/>
      <c r="J88"/>
    </row>
    <row r="89" spans="2:10" x14ac:dyDescent="0.25">
      <c r="B89"/>
      <c r="C89" s="76" t="s">
        <v>470</v>
      </c>
      <c r="D89"/>
      <c r="E89"/>
      <c r="F89"/>
      <c r="G89" s="242">
        <v>1604</v>
      </c>
      <c r="H89"/>
      <c r="I89"/>
      <c r="J89"/>
    </row>
    <row r="90" spans="2:10" x14ac:dyDescent="0.25">
      <c r="B90"/>
      <c r="C90" s="76" t="s">
        <v>257</v>
      </c>
      <c r="D90"/>
      <c r="E90"/>
      <c r="F90"/>
      <c r="G90">
        <v>1.695E-2</v>
      </c>
      <c r="H90"/>
      <c r="I90"/>
      <c r="J90"/>
    </row>
    <row r="91" spans="2:10" x14ac:dyDescent="0.25">
      <c r="B91"/>
      <c r="C91" s="76" t="s">
        <v>265</v>
      </c>
      <c r="D91"/>
      <c r="E91"/>
      <c r="F91"/>
      <c r="G91" s="313">
        <f>SUM(9/12)</f>
        <v>0.75</v>
      </c>
      <c r="H91"/>
      <c r="I91"/>
      <c r="J91"/>
    </row>
    <row r="92" spans="2:10" x14ac:dyDescent="0.25">
      <c r="B92"/>
      <c r="C92" s="76" t="s">
        <v>481</v>
      </c>
      <c r="D92"/>
      <c r="E92"/>
      <c r="F92"/>
      <c r="G92" s="315">
        <f>SUM(G89*G90*G91)</f>
        <v>20.39085</v>
      </c>
      <c r="H92"/>
      <c r="I92"/>
      <c r="J92"/>
    </row>
    <row r="93" spans="2:10" x14ac:dyDescent="0.25">
      <c r="B93"/>
      <c r="C93" s="76" t="s">
        <v>482</v>
      </c>
      <c r="D93"/>
      <c r="E93"/>
      <c r="F93"/>
      <c r="G93" s="251">
        <v>20.39</v>
      </c>
      <c r="H93"/>
      <c r="I93"/>
      <c r="J93"/>
    </row>
    <row r="94" spans="2:10" x14ac:dyDescent="0.25">
      <c r="B94"/>
      <c r="C94"/>
      <c r="D94"/>
      <c r="E94"/>
      <c r="F94"/>
      <c r="G94"/>
      <c r="H94"/>
      <c r="I94"/>
      <c r="J94"/>
    </row>
    <row r="95" spans="2:10" x14ac:dyDescent="0.25">
      <c r="B95" s="240" t="s">
        <v>472</v>
      </c>
      <c r="C95" s="240"/>
      <c r="D95" s="240"/>
      <c r="E95" s="240"/>
      <c r="F95" s="240"/>
      <c r="G95" s="241">
        <f>SUM(G65+G71+G82+G93)</f>
        <v>8.59</v>
      </c>
      <c r="H95"/>
      <c r="I95"/>
      <c r="J95"/>
    </row>
    <row r="98" spans="1:9" x14ac:dyDescent="0.25">
      <c r="A98" s="84" t="s">
        <v>17</v>
      </c>
      <c r="B98" s="84" t="s">
        <v>18</v>
      </c>
    </row>
    <row r="100" spans="1:9" x14ac:dyDescent="0.25">
      <c r="B100" t="s">
        <v>25</v>
      </c>
      <c r="C100"/>
      <c r="D100"/>
      <c r="E100"/>
      <c r="F100"/>
      <c r="G100"/>
      <c r="H100"/>
      <c r="I100"/>
    </row>
    <row r="101" spans="1:9" x14ac:dyDescent="0.25">
      <c r="B101"/>
      <c r="C101" s="76" t="s">
        <v>269</v>
      </c>
      <c r="D101"/>
      <c r="E101"/>
      <c r="F101"/>
      <c r="G101" s="242">
        <v>1258</v>
      </c>
      <c r="H101"/>
      <c r="I101"/>
    </row>
    <row r="102" spans="1:9" x14ac:dyDescent="0.25">
      <c r="B102"/>
      <c r="C102" s="76" t="s">
        <v>257</v>
      </c>
      <c r="D102"/>
      <c r="E102"/>
      <c r="F102"/>
      <c r="G102">
        <v>1.695E-2</v>
      </c>
      <c r="H102"/>
      <c r="I102"/>
    </row>
    <row r="103" spans="1:9" x14ac:dyDescent="0.25">
      <c r="B103"/>
      <c r="C103" s="76" t="s">
        <v>270</v>
      </c>
      <c r="D103"/>
      <c r="E103"/>
      <c r="F103"/>
      <c r="G103">
        <f>SUM(7/12)</f>
        <v>0.58333333333333337</v>
      </c>
      <c r="H103"/>
      <c r="I103"/>
    </row>
    <row r="104" spans="1:9" x14ac:dyDescent="0.25">
      <c r="B104"/>
      <c r="C104" s="76" t="s">
        <v>155</v>
      </c>
      <c r="D104"/>
      <c r="E104"/>
      <c r="F104"/>
      <c r="G104" s="316">
        <f>SUM(G101*G102*G103)</f>
        <v>12.438475</v>
      </c>
      <c r="H104"/>
      <c r="I104"/>
    </row>
    <row r="105" spans="1:9" x14ac:dyDescent="0.25">
      <c r="B105"/>
      <c r="C105" s="76" t="s">
        <v>483</v>
      </c>
      <c r="D105"/>
      <c r="E105"/>
      <c r="F105"/>
      <c r="G105" s="251">
        <v>12.44</v>
      </c>
      <c r="H105"/>
      <c r="I105"/>
    </row>
    <row r="106" spans="1:9" x14ac:dyDescent="0.25">
      <c r="B106" s="76" t="s">
        <v>14</v>
      </c>
      <c r="C106"/>
      <c r="D106"/>
      <c r="E106"/>
      <c r="F106"/>
      <c r="G106"/>
      <c r="H106"/>
      <c r="I106"/>
    </row>
    <row r="107" spans="1:9" x14ac:dyDescent="0.25">
      <c r="B107" t="s">
        <v>464</v>
      </c>
      <c r="C107"/>
      <c r="D107"/>
      <c r="E107"/>
      <c r="F107"/>
      <c r="G107"/>
      <c r="H107"/>
      <c r="I107"/>
    </row>
    <row r="108" spans="1:9" x14ac:dyDescent="0.25">
      <c r="B108"/>
      <c r="C108" s="76" t="s">
        <v>484</v>
      </c>
      <c r="D108"/>
      <c r="E108"/>
      <c r="F108"/>
      <c r="G108" s="242">
        <v>212000</v>
      </c>
      <c r="H108"/>
      <c r="I108" t="s">
        <v>466</v>
      </c>
    </row>
    <row r="109" spans="1:9" x14ac:dyDescent="0.25">
      <c r="B109"/>
      <c r="C109" s="76" t="s">
        <v>1397</v>
      </c>
      <c r="D109"/>
      <c r="E109"/>
      <c r="F109"/>
      <c r="G109" s="242">
        <v>143127</v>
      </c>
      <c r="H109"/>
      <c r="I109"/>
    </row>
    <row r="110" spans="1:9" x14ac:dyDescent="0.25">
      <c r="B110"/>
      <c r="C110" s="76" t="s">
        <v>1398</v>
      </c>
      <c r="D110"/>
      <c r="E110"/>
      <c r="F110"/>
      <c r="G110">
        <v>1.4E-2</v>
      </c>
      <c r="H110"/>
      <c r="I110"/>
    </row>
    <row r="111" spans="1:9" x14ac:dyDescent="0.25">
      <c r="B111"/>
      <c r="C111" s="76" t="s">
        <v>469</v>
      </c>
      <c r="D111"/>
      <c r="E111"/>
      <c r="F111"/>
      <c r="G111" s="242">
        <f>SUM(G108*G110)</f>
        <v>2968</v>
      </c>
      <c r="H111"/>
      <c r="I111"/>
    </row>
    <row r="112" spans="1:9" x14ac:dyDescent="0.25">
      <c r="B112"/>
      <c r="C112" s="76" t="s">
        <v>470</v>
      </c>
      <c r="D112"/>
      <c r="E112"/>
      <c r="F112"/>
      <c r="G112" s="242">
        <v>2968</v>
      </c>
      <c r="H112"/>
      <c r="I112"/>
    </row>
    <row r="113" spans="1:13" x14ac:dyDescent="0.25">
      <c r="B113"/>
      <c r="C113" s="76" t="s">
        <v>257</v>
      </c>
      <c r="D113"/>
      <c r="E113"/>
      <c r="F113"/>
      <c r="G113">
        <v>1.695E-2</v>
      </c>
      <c r="H113"/>
      <c r="I113"/>
    </row>
    <row r="114" spans="1:13" x14ac:dyDescent="0.25">
      <c r="B114"/>
      <c r="C114" s="76" t="s">
        <v>270</v>
      </c>
      <c r="D114"/>
      <c r="E114"/>
      <c r="F114"/>
      <c r="G114">
        <f>SUM(7/12)</f>
        <v>0.58333333333333337</v>
      </c>
      <c r="H114"/>
      <c r="I114"/>
    </row>
    <row r="115" spans="1:13" x14ac:dyDescent="0.25">
      <c r="B115"/>
      <c r="C115" s="76" t="s">
        <v>485</v>
      </c>
      <c r="D115"/>
      <c r="E115"/>
      <c r="F115"/>
      <c r="G115" s="317">
        <f>SUM(G112*G113*G114)</f>
        <v>29.346100000000003</v>
      </c>
      <c r="H115"/>
      <c r="I115"/>
    </row>
    <row r="116" spans="1:13" x14ac:dyDescent="0.25">
      <c r="B116"/>
      <c r="C116" s="76" t="s">
        <v>486</v>
      </c>
      <c r="D116"/>
      <c r="E116"/>
      <c r="F116"/>
      <c r="G116" s="251">
        <v>29.35</v>
      </c>
      <c r="H116"/>
      <c r="I116"/>
    </row>
    <row r="117" spans="1:13" x14ac:dyDescent="0.25">
      <c r="B117"/>
      <c r="C117"/>
      <c r="D117"/>
      <c r="E117"/>
      <c r="F117"/>
      <c r="G117"/>
      <c r="H117"/>
      <c r="I117"/>
      <c r="J117" s="86"/>
      <c r="K117" s="86"/>
      <c r="L117" s="86"/>
      <c r="M117" s="86"/>
    </row>
    <row r="118" spans="1:13" x14ac:dyDescent="0.25">
      <c r="B118" s="240" t="s">
        <v>472</v>
      </c>
      <c r="C118" s="240"/>
      <c r="D118" s="240"/>
      <c r="E118" s="240"/>
      <c r="F118" s="240"/>
      <c r="G118" s="241">
        <f>SUM(G105+G116)</f>
        <v>41.79</v>
      </c>
      <c r="H118"/>
      <c r="I118"/>
      <c r="J118" s="86"/>
      <c r="K118" s="86"/>
      <c r="L118" s="86"/>
      <c r="M118" s="86"/>
    </row>
    <row r="119" spans="1:13" x14ac:dyDescent="0.25">
      <c r="B119"/>
      <c r="C119"/>
      <c r="D119"/>
      <c r="E119"/>
      <c r="F119"/>
      <c r="G119" s="251"/>
      <c r="H119"/>
      <c r="I119"/>
      <c r="J119" s="86"/>
      <c r="K119" s="86"/>
      <c r="L119" s="86"/>
      <c r="M119" s="86"/>
    </row>
    <row r="121" spans="1:13" x14ac:dyDescent="0.25">
      <c r="A121" s="84" t="s">
        <v>20</v>
      </c>
      <c r="B121" s="84" t="s">
        <v>21</v>
      </c>
    </row>
    <row r="123" spans="1:13" x14ac:dyDescent="0.25">
      <c r="B123" t="s">
        <v>271</v>
      </c>
      <c r="C123"/>
      <c r="D123"/>
      <c r="E123"/>
      <c r="F123"/>
      <c r="G123"/>
      <c r="H123"/>
      <c r="I123"/>
    </row>
    <row r="124" spans="1:13" x14ac:dyDescent="0.25">
      <c r="B124"/>
      <c r="C124" s="76" t="s">
        <v>269</v>
      </c>
      <c r="D124"/>
      <c r="E124"/>
      <c r="F124"/>
      <c r="G124" s="242">
        <v>1258</v>
      </c>
      <c r="H124"/>
      <c r="I124"/>
    </row>
    <row r="125" spans="1:13" x14ac:dyDescent="0.25">
      <c r="B125"/>
      <c r="C125" s="76" t="s">
        <v>257</v>
      </c>
      <c r="D125"/>
      <c r="E125"/>
      <c r="F125"/>
      <c r="G125">
        <v>1.695E-2</v>
      </c>
      <c r="H125"/>
      <c r="I125"/>
    </row>
    <row r="126" spans="1:13" x14ac:dyDescent="0.25">
      <c r="B126"/>
      <c r="C126" s="76" t="s">
        <v>272</v>
      </c>
      <c r="D126"/>
      <c r="E126"/>
      <c r="F126"/>
      <c r="G126">
        <f>SUM(6/12)</f>
        <v>0.5</v>
      </c>
      <c r="H126"/>
      <c r="I126"/>
    </row>
    <row r="127" spans="1:13" x14ac:dyDescent="0.25">
      <c r="B127"/>
      <c r="C127" s="76" t="s">
        <v>266</v>
      </c>
      <c r="D127"/>
      <c r="E127"/>
      <c r="F127"/>
      <c r="G127" s="314">
        <v>-10.66</v>
      </c>
      <c r="H127"/>
      <c r="I127"/>
    </row>
    <row r="128" spans="1:13" x14ac:dyDescent="0.25">
      <c r="B128"/>
      <c r="C128"/>
      <c r="D128"/>
      <c r="E128"/>
      <c r="F128"/>
      <c r="G128"/>
      <c r="H128"/>
      <c r="I128"/>
    </row>
    <row r="129" spans="2:9" x14ac:dyDescent="0.25">
      <c r="B129" t="s">
        <v>273</v>
      </c>
      <c r="C129"/>
      <c r="D129"/>
      <c r="E129"/>
      <c r="F129"/>
      <c r="G129"/>
      <c r="H129"/>
      <c r="I129"/>
    </row>
    <row r="130" spans="2:9" x14ac:dyDescent="0.25">
      <c r="B130"/>
      <c r="C130" s="76" t="s">
        <v>256</v>
      </c>
      <c r="D130"/>
      <c r="E130"/>
      <c r="F130"/>
      <c r="G130" s="242">
        <v>1360</v>
      </c>
      <c r="H130"/>
      <c r="I130"/>
    </row>
    <row r="131" spans="2:9" x14ac:dyDescent="0.25">
      <c r="B131"/>
      <c r="C131" s="76" t="s">
        <v>257</v>
      </c>
      <c r="D131"/>
      <c r="E131"/>
      <c r="F131"/>
      <c r="G131">
        <v>1.695E-2</v>
      </c>
      <c r="H131"/>
      <c r="I131"/>
    </row>
    <row r="132" spans="2:9" x14ac:dyDescent="0.25">
      <c r="B132"/>
      <c r="C132" s="76" t="s">
        <v>272</v>
      </c>
      <c r="D132"/>
      <c r="E132"/>
      <c r="F132"/>
      <c r="G132">
        <f>SUM(6/12)</f>
        <v>0.5</v>
      </c>
      <c r="H132"/>
      <c r="I132"/>
    </row>
    <row r="133" spans="2:9" x14ac:dyDescent="0.25">
      <c r="B133"/>
      <c r="C133" s="76" t="s">
        <v>463</v>
      </c>
      <c r="D133"/>
      <c r="E133"/>
      <c r="F133"/>
      <c r="G133" s="251">
        <v>11.53</v>
      </c>
      <c r="H133"/>
      <c r="I133"/>
    </row>
    <row r="134" spans="2:9" x14ac:dyDescent="0.25">
      <c r="B134"/>
      <c r="C134"/>
      <c r="D134"/>
      <c r="E134"/>
      <c r="F134"/>
      <c r="G134"/>
      <c r="H134"/>
      <c r="I134"/>
    </row>
    <row r="135" spans="2:9" x14ac:dyDescent="0.25">
      <c r="B135" t="s">
        <v>487</v>
      </c>
      <c r="C135"/>
      <c r="D135"/>
      <c r="E135"/>
      <c r="F135"/>
      <c r="G135"/>
      <c r="H135"/>
      <c r="I135"/>
    </row>
    <row r="136" spans="2:9" x14ac:dyDescent="0.25">
      <c r="B136"/>
      <c r="C136" s="76" t="s">
        <v>484</v>
      </c>
      <c r="D136"/>
      <c r="E136"/>
      <c r="F136"/>
      <c r="G136" s="242">
        <v>212000</v>
      </c>
      <c r="H136"/>
      <c r="I136" t="s">
        <v>466</v>
      </c>
    </row>
    <row r="137" spans="2:9" x14ac:dyDescent="0.25">
      <c r="B137"/>
      <c r="C137" s="76" t="s">
        <v>1397</v>
      </c>
      <c r="D137"/>
      <c r="E137"/>
      <c r="F137"/>
      <c r="G137" s="242">
        <v>143127</v>
      </c>
      <c r="H137"/>
      <c r="I137"/>
    </row>
    <row r="138" spans="2:9" x14ac:dyDescent="0.25">
      <c r="B138"/>
      <c r="C138" s="76" t="s">
        <v>1398</v>
      </c>
      <c r="D138"/>
      <c r="E138"/>
      <c r="F138"/>
      <c r="G138">
        <v>1.4E-2</v>
      </c>
      <c r="H138"/>
      <c r="I138"/>
    </row>
    <row r="139" spans="2:9" x14ac:dyDescent="0.25">
      <c r="B139"/>
      <c r="C139" s="76" t="s">
        <v>469</v>
      </c>
      <c r="D139"/>
      <c r="E139"/>
      <c r="F139"/>
      <c r="G139" s="242">
        <f>SUM(G136*G138)</f>
        <v>2968</v>
      </c>
      <c r="H139"/>
      <c r="I139"/>
    </row>
    <row r="140" spans="2:9" x14ac:dyDescent="0.25">
      <c r="B140"/>
      <c r="C140" s="76" t="s">
        <v>470</v>
      </c>
      <c r="D140"/>
      <c r="E140"/>
      <c r="F140"/>
      <c r="G140" s="242">
        <v>2968</v>
      </c>
      <c r="H140"/>
      <c r="I140"/>
    </row>
    <row r="141" spans="2:9" x14ac:dyDescent="0.25">
      <c r="B141"/>
      <c r="C141" s="76" t="s">
        <v>257</v>
      </c>
      <c r="D141"/>
      <c r="E141"/>
      <c r="F141"/>
      <c r="G141">
        <v>1.695E-2</v>
      </c>
      <c r="H141"/>
      <c r="I141"/>
    </row>
    <row r="142" spans="2:9" x14ac:dyDescent="0.25">
      <c r="B142"/>
      <c r="C142" s="76" t="s">
        <v>272</v>
      </c>
      <c r="D142"/>
      <c r="E142"/>
      <c r="F142"/>
      <c r="G142">
        <f>SUM(6/12)</f>
        <v>0.5</v>
      </c>
      <c r="H142"/>
      <c r="I142"/>
    </row>
    <row r="143" spans="2:9" x14ac:dyDescent="0.25">
      <c r="B143"/>
      <c r="C143" s="76" t="s">
        <v>488</v>
      </c>
      <c r="D143"/>
      <c r="E143"/>
      <c r="F143"/>
      <c r="G143" s="314">
        <f>SUM(0-(G140*G141*G142))</f>
        <v>-25.1538</v>
      </c>
      <c r="H143"/>
      <c r="I143"/>
    </row>
    <row r="144" spans="2:9" x14ac:dyDescent="0.25">
      <c r="B144"/>
      <c r="C144"/>
      <c r="D144"/>
      <c r="E144"/>
      <c r="F144"/>
      <c r="G144"/>
      <c r="H144"/>
      <c r="I144"/>
    </row>
    <row r="145" spans="1:13" x14ac:dyDescent="0.25">
      <c r="B145" t="s">
        <v>489</v>
      </c>
      <c r="C145"/>
      <c r="D145"/>
      <c r="E145"/>
      <c r="F145"/>
      <c r="G145"/>
      <c r="H145"/>
      <c r="I145"/>
    </row>
    <row r="146" spans="1:13" x14ac:dyDescent="0.25">
      <c r="B146"/>
      <c r="C146" s="76" t="s">
        <v>484</v>
      </c>
      <c r="D146"/>
      <c r="E146"/>
      <c r="F146"/>
      <c r="G146" s="242">
        <v>212000</v>
      </c>
      <c r="H146"/>
      <c r="I146" t="s">
        <v>466</v>
      </c>
    </row>
    <row r="147" spans="1:13" x14ac:dyDescent="0.25">
      <c r="B147"/>
      <c r="C147" s="76" t="s">
        <v>1397</v>
      </c>
      <c r="D147"/>
      <c r="E147"/>
      <c r="F147"/>
      <c r="G147" s="242">
        <v>143127</v>
      </c>
      <c r="H147"/>
      <c r="I147"/>
    </row>
    <row r="148" spans="1:13" x14ac:dyDescent="0.25">
      <c r="B148"/>
      <c r="C148" s="76" t="s">
        <v>1398</v>
      </c>
      <c r="D148"/>
      <c r="E148"/>
      <c r="F148"/>
      <c r="G148">
        <v>1.4E-2</v>
      </c>
      <c r="H148"/>
      <c r="I148"/>
    </row>
    <row r="149" spans="1:13" x14ac:dyDescent="0.25">
      <c r="B149"/>
      <c r="C149" s="76" t="s">
        <v>469</v>
      </c>
      <c r="D149"/>
      <c r="E149"/>
      <c r="F149"/>
      <c r="G149" s="242">
        <f>SUM(G146*G148)</f>
        <v>2968</v>
      </c>
      <c r="H149"/>
      <c r="I149"/>
    </row>
    <row r="150" spans="1:13" x14ac:dyDescent="0.25">
      <c r="B150"/>
      <c r="C150" s="76" t="s">
        <v>470</v>
      </c>
      <c r="D150"/>
      <c r="E150"/>
      <c r="F150"/>
      <c r="G150" s="242">
        <v>2968</v>
      </c>
      <c r="H150"/>
      <c r="I150"/>
    </row>
    <row r="151" spans="1:13" x14ac:dyDescent="0.25">
      <c r="B151"/>
      <c r="C151" s="76" t="s">
        <v>257</v>
      </c>
      <c r="D151"/>
      <c r="E151"/>
      <c r="F151"/>
      <c r="G151">
        <v>1.695E-2</v>
      </c>
      <c r="H151"/>
      <c r="I151"/>
    </row>
    <row r="152" spans="1:13" x14ac:dyDescent="0.25">
      <c r="B152"/>
      <c r="C152" s="76" t="s">
        <v>272</v>
      </c>
      <c r="D152"/>
      <c r="E152"/>
      <c r="F152"/>
      <c r="G152">
        <f>SUM(6/12)</f>
        <v>0.5</v>
      </c>
      <c r="H152"/>
      <c r="I152"/>
    </row>
    <row r="153" spans="1:13" x14ac:dyDescent="0.25">
      <c r="B153"/>
      <c r="C153" s="76" t="s">
        <v>471</v>
      </c>
      <c r="D153"/>
      <c r="E153"/>
      <c r="F153"/>
      <c r="G153" s="251">
        <f>SUM(G150*G151*G152)</f>
        <v>25.1538</v>
      </c>
      <c r="H153"/>
      <c r="I153"/>
    </row>
    <row r="154" spans="1:13" x14ac:dyDescent="0.25">
      <c r="B154"/>
      <c r="C154"/>
      <c r="D154"/>
      <c r="E154"/>
      <c r="F154"/>
      <c r="G154"/>
      <c r="H154"/>
      <c r="I154"/>
    </row>
    <row r="155" spans="1:13" x14ac:dyDescent="0.25">
      <c r="B155" s="240" t="s">
        <v>472</v>
      </c>
      <c r="C155" s="240"/>
      <c r="D155" s="240"/>
      <c r="E155" s="240"/>
      <c r="F155" s="240"/>
      <c r="G155" s="241">
        <f>SUM(G127+G133+G143+G153)</f>
        <v>0.87000000000000099</v>
      </c>
      <c r="H155"/>
      <c r="I155"/>
    </row>
    <row r="158" spans="1:13" x14ac:dyDescent="0.25">
      <c r="A158" s="84" t="s">
        <v>22</v>
      </c>
      <c r="B158" s="84" t="s">
        <v>23</v>
      </c>
    </row>
    <row r="159" spans="1:13" ht="40.5" customHeight="1" x14ac:dyDescent="0.25">
      <c r="B159" s="459" t="s">
        <v>24</v>
      </c>
      <c r="C159" s="459"/>
      <c r="D159" s="459"/>
      <c r="E159" s="459"/>
      <c r="F159" s="459"/>
      <c r="G159" s="459"/>
      <c r="H159" s="459"/>
      <c r="I159" s="459"/>
      <c r="J159" s="459"/>
      <c r="K159" s="459"/>
      <c r="L159" s="86"/>
      <c r="M159" s="86"/>
    </row>
    <row r="160" spans="1:13" x14ac:dyDescent="0.25">
      <c r="B160" s="88"/>
      <c r="C160" s="88"/>
      <c r="D160" s="88"/>
      <c r="E160" s="88"/>
      <c r="F160" s="88"/>
      <c r="G160" s="88"/>
      <c r="H160" s="88"/>
      <c r="I160" s="88"/>
      <c r="J160" s="88"/>
      <c r="K160" s="88"/>
      <c r="L160" s="86"/>
      <c r="M160" s="86"/>
    </row>
    <row r="161" spans="2:13" x14ac:dyDescent="0.25">
      <c r="B161" s="4" t="s">
        <v>490</v>
      </c>
      <c r="C161" s="2"/>
      <c r="D161" s="2"/>
      <c r="E161" s="2"/>
      <c r="F161" s="2"/>
      <c r="G161" s="2"/>
      <c r="H161" s="2"/>
      <c r="I161" s="2"/>
      <c r="J161" s="88"/>
      <c r="K161" s="88"/>
      <c r="L161" s="86"/>
      <c r="M161" s="86"/>
    </row>
    <row r="162" spans="2:13" x14ac:dyDescent="0.25">
      <c r="B162"/>
      <c r="C162"/>
      <c r="D162"/>
      <c r="E162"/>
      <c r="F162"/>
      <c r="G162"/>
      <c r="H162"/>
      <c r="I162"/>
    </row>
    <row r="163" spans="2:13" x14ac:dyDescent="0.25">
      <c r="B163" t="s">
        <v>25</v>
      </c>
      <c r="C163"/>
      <c r="D163"/>
      <c r="E163"/>
      <c r="F163"/>
      <c r="G163"/>
      <c r="H163"/>
      <c r="I163"/>
    </row>
    <row r="164" spans="2:13" x14ac:dyDescent="0.25">
      <c r="B164"/>
      <c r="C164" s="76" t="s">
        <v>275</v>
      </c>
      <c r="D164"/>
      <c r="E164"/>
      <c r="F164"/>
      <c r="G164" s="242">
        <v>646</v>
      </c>
      <c r="H164"/>
      <c r="I164"/>
    </row>
    <row r="165" spans="2:13" x14ac:dyDescent="0.25">
      <c r="B165"/>
      <c r="C165" s="76" t="s">
        <v>257</v>
      </c>
      <c r="D165"/>
      <c r="E165"/>
      <c r="F165"/>
      <c r="G165">
        <v>1.695E-2</v>
      </c>
      <c r="H165"/>
      <c r="I165"/>
    </row>
    <row r="166" spans="2:13" x14ac:dyDescent="0.25">
      <c r="B166"/>
      <c r="C166" s="76" t="s">
        <v>462</v>
      </c>
      <c r="D166"/>
      <c r="E166"/>
      <c r="F166"/>
      <c r="G166" s="313">
        <f>SUM(12/12)</f>
        <v>1</v>
      </c>
      <c r="H166"/>
      <c r="I166"/>
    </row>
    <row r="167" spans="2:13" x14ac:dyDescent="0.25">
      <c r="B167"/>
      <c r="C167" s="76" t="s">
        <v>463</v>
      </c>
      <c r="D167"/>
      <c r="E167"/>
      <c r="F167"/>
      <c r="G167" s="251">
        <f>SUM(G164*G165*G166)</f>
        <v>10.9497</v>
      </c>
      <c r="H167"/>
      <c r="I167"/>
    </row>
    <row r="168" spans="2:13" x14ac:dyDescent="0.25">
      <c r="B168" s="76" t="s">
        <v>14</v>
      </c>
      <c r="C168"/>
      <c r="D168"/>
      <c r="E168"/>
      <c r="F168"/>
      <c r="G168"/>
      <c r="H168"/>
      <c r="I168"/>
    </row>
    <row r="169" spans="2:13" x14ac:dyDescent="0.25">
      <c r="B169" t="s">
        <v>464</v>
      </c>
      <c r="C169"/>
      <c r="D169"/>
      <c r="E169"/>
      <c r="F169"/>
      <c r="G169"/>
      <c r="H169"/>
      <c r="I169"/>
      <c r="J169" s="86"/>
      <c r="K169" s="86"/>
      <c r="L169" s="86"/>
      <c r="M169" s="86"/>
    </row>
    <row r="170" spans="2:13" x14ac:dyDescent="0.25">
      <c r="B170"/>
      <c r="C170" s="76" t="s">
        <v>491</v>
      </c>
      <c r="D170"/>
      <c r="E170"/>
      <c r="F170"/>
      <c r="G170" s="242">
        <v>379000</v>
      </c>
      <c r="H170"/>
      <c r="I170"/>
      <c r="J170" s="86"/>
      <c r="K170" s="86"/>
      <c r="L170" s="86"/>
      <c r="M170" s="86"/>
    </row>
    <row r="171" spans="2:13" x14ac:dyDescent="0.25">
      <c r="B171"/>
      <c r="C171" s="76" t="s">
        <v>492</v>
      </c>
      <c r="D171"/>
      <c r="E171"/>
      <c r="F171"/>
      <c r="G171" s="242">
        <v>531396</v>
      </c>
      <c r="H171"/>
      <c r="I171" t="s">
        <v>493</v>
      </c>
      <c r="J171" s="86"/>
      <c r="K171" s="86"/>
      <c r="L171" s="86"/>
      <c r="M171" s="86"/>
    </row>
    <row r="172" spans="2:13" x14ac:dyDescent="0.25">
      <c r="B172"/>
      <c r="C172" s="76" t="s">
        <v>494</v>
      </c>
      <c r="D172"/>
      <c r="E172"/>
      <c r="F172"/>
      <c r="G172">
        <v>8.2100000000000003E-3</v>
      </c>
      <c r="H172"/>
      <c r="I172"/>
    </row>
    <row r="173" spans="2:13" x14ac:dyDescent="0.25">
      <c r="B173"/>
      <c r="C173" s="76" t="s">
        <v>469</v>
      </c>
      <c r="D173"/>
      <c r="E173"/>
      <c r="F173"/>
      <c r="G173" s="242">
        <f>SUM(G171*G172)</f>
        <v>4362.76116</v>
      </c>
      <c r="H173"/>
      <c r="I173"/>
    </row>
    <row r="174" spans="2:13" x14ac:dyDescent="0.25">
      <c r="B174"/>
      <c r="C174" s="76" t="s">
        <v>470</v>
      </c>
      <c r="D174"/>
      <c r="E174"/>
      <c r="F174"/>
      <c r="G174" s="242">
        <v>4363</v>
      </c>
      <c r="H174"/>
      <c r="I174"/>
    </row>
    <row r="175" spans="2:13" x14ac:dyDescent="0.25">
      <c r="B175"/>
      <c r="C175" s="76" t="s">
        <v>257</v>
      </c>
      <c r="D175"/>
      <c r="E175"/>
      <c r="F175"/>
      <c r="G175">
        <v>1.695E-2</v>
      </c>
      <c r="H175"/>
      <c r="I175"/>
    </row>
    <row r="176" spans="2:13" x14ac:dyDescent="0.25">
      <c r="B176"/>
      <c r="C176" s="76" t="s">
        <v>462</v>
      </c>
      <c r="D176"/>
      <c r="E176"/>
      <c r="F176"/>
      <c r="G176" s="313">
        <f>SUM(12/12)</f>
        <v>1</v>
      </c>
      <c r="H176"/>
      <c r="I176"/>
    </row>
    <row r="177" spans="2:9" x14ac:dyDescent="0.25">
      <c r="B177"/>
      <c r="C177" s="76" t="s">
        <v>471</v>
      </c>
      <c r="D177"/>
      <c r="E177"/>
      <c r="F177"/>
      <c r="G177" s="251">
        <f>SUM(G174*G175*G176)</f>
        <v>73.952849999999998</v>
      </c>
      <c r="H177"/>
      <c r="I177"/>
    </row>
    <row r="178" spans="2:9" x14ac:dyDescent="0.25">
      <c r="B178"/>
      <c r="C178"/>
      <c r="D178"/>
      <c r="E178"/>
      <c r="F178"/>
      <c r="G178"/>
      <c r="H178"/>
      <c r="I178"/>
    </row>
    <row r="179" spans="2:9" x14ac:dyDescent="0.25">
      <c r="B179" s="240" t="s">
        <v>472</v>
      </c>
      <c r="C179" s="240"/>
      <c r="D179" s="240"/>
      <c r="E179" s="240"/>
      <c r="F179" s="240"/>
      <c r="G179" s="241">
        <f>SUM(G167+G177)</f>
        <v>84.902549999999991</v>
      </c>
      <c r="H179"/>
      <c r="I179"/>
    </row>
  </sheetData>
  <mergeCells count="3">
    <mergeCell ref="A1:I1"/>
    <mergeCell ref="A3:K6"/>
    <mergeCell ref="B159:K15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4925F-FB60-4413-B22D-8A644C848F55}">
  <dimension ref="A1:M119"/>
  <sheetViews>
    <sheetView workbookViewId="0">
      <selection sqref="A1:XFD1048576"/>
    </sheetView>
  </sheetViews>
  <sheetFormatPr defaultRowHeight="15" x14ac:dyDescent="0.25"/>
  <cols>
    <col min="1" max="16384" width="9.140625" style="84"/>
  </cols>
  <sheetData>
    <row r="1" spans="1:13" ht="21" x14ac:dyDescent="0.35">
      <c r="A1" s="457" t="s">
        <v>1399</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6" x14ac:dyDescent="0.25">
      <c r="A17" s="84" t="s">
        <v>10</v>
      </c>
      <c r="B17" s="84" t="s">
        <v>11</v>
      </c>
    </row>
    <row r="18" spans="1:6" x14ac:dyDescent="0.25">
      <c r="A18" t="s">
        <v>789</v>
      </c>
      <c r="B18"/>
      <c r="C18"/>
      <c r="D18"/>
      <c r="E18"/>
      <c r="F18"/>
    </row>
    <row r="19" spans="1:6" x14ac:dyDescent="0.25">
      <c r="A19" t="s">
        <v>790</v>
      </c>
      <c r="B19"/>
      <c r="C19"/>
      <c r="D19"/>
      <c r="E19"/>
      <c r="F19"/>
    </row>
    <row r="20" spans="1:6" x14ac:dyDescent="0.25">
      <c r="A20" t="s">
        <v>791</v>
      </c>
      <c r="B20"/>
      <c r="C20"/>
      <c r="D20"/>
      <c r="E20"/>
      <c r="F20"/>
    </row>
    <row r="21" spans="1:6" x14ac:dyDescent="0.25">
      <c r="A21" t="s">
        <v>792</v>
      </c>
      <c r="B21"/>
      <c r="C21"/>
      <c r="D21"/>
      <c r="E21"/>
      <c r="F21"/>
    </row>
    <row r="22" spans="1:6" x14ac:dyDescent="0.25">
      <c r="A22"/>
      <c r="B22"/>
      <c r="C22"/>
      <c r="D22"/>
      <c r="E22"/>
      <c r="F22"/>
    </row>
    <row r="23" spans="1:6" x14ac:dyDescent="0.25">
      <c r="A23" t="s">
        <v>793</v>
      </c>
      <c r="B23"/>
      <c r="C23"/>
      <c r="D23"/>
      <c r="E23"/>
      <c r="F23"/>
    </row>
    <row r="24" spans="1:6" x14ac:dyDescent="0.25">
      <c r="A24" t="s">
        <v>794</v>
      </c>
      <c r="B24"/>
      <c r="C24"/>
      <c r="D24"/>
      <c r="E24"/>
      <c r="F24"/>
    </row>
    <row r="25" spans="1:6" x14ac:dyDescent="0.25">
      <c r="A25" t="s">
        <v>795</v>
      </c>
      <c r="B25"/>
      <c r="C25"/>
      <c r="D25"/>
      <c r="E25"/>
      <c r="F25"/>
    </row>
    <row r="26" spans="1:6" x14ac:dyDescent="0.25">
      <c r="A26"/>
      <c r="B26"/>
      <c r="C26"/>
      <c r="D26"/>
      <c r="E26"/>
      <c r="F26"/>
    </row>
    <row r="27" spans="1:6" x14ac:dyDescent="0.25">
      <c r="A27" t="s">
        <v>796</v>
      </c>
      <c r="B27"/>
      <c r="C27"/>
      <c r="D27"/>
      <c r="E27"/>
      <c r="F27"/>
    </row>
    <row r="29" spans="1:6" x14ac:dyDescent="0.25">
      <c r="A29" s="84" t="s">
        <v>12</v>
      </c>
      <c r="B29" s="84" t="s">
        <v>13</v>
      </c>
    </row>
    <row r="30" spans="1:6" x14ac:dyDescent="0.25">
      <c r="A30" t="s">
        <v>789</v>
      </c>
      <c r="B30"/>
      <c r="C30"/>
      <c r="D30"/>
      <c r="E30"/>
      <c r="F30"/>
    </row>
    <row r="31" spans="1:6" x14ac:dyDescent="0.25">
      <c r="A31" t="s">
        <v>790</v>
      </c>
      <c r="B31"/>
      <c r="C31"/>
      <c r="D31"/>
      <c r="E31"/>
      <c r="F31"/>
    </row>
    <row r="32" spans="1:6" x14ac:dyDescent="0.25">
      <c r="A32" t="s">
        <v>791</v>
      </c>
      <c r="B32"/>
      <c r="C32"/>
      <c r="D32"/>
      <c r="E32"/>
      <c r="F32"/>
    </row>
    <row r="33" spans="1:9" x14ac:dyDescent="0.25">
      <c r="A33" t="s">
        <v>792</v>
      </c>
      <c r="B33"/>
      <c r="C33"/>
      <c r="D33"/>
      <c r="E33"/>
      <c r="F33"/>
    </row>
    <row r="34" spans="1:9" x14ac:dyDescent="0.25">
      <c r="A34"/>
      <c r="B34"/>
      <c r="C34"/>
      <c r="D34"/>
      <c r="E34"/>
      <c r="F34"/>
    </row>
    <row r="35" spans="1:9" x14ac:dyDescent="0.25">
      <c r="A35" t="s">
        <v>793</v>
      </c>
      <c r="B35"/>
      <c r="C35"/>
      <c r="D35"/>
      <c r="E35"/>
      <c r="F35"/>
    </row>
    <row r="36" spans="1:9" x14ac:dyDescent="0.25">
      <c r="A36" t="s">
        <v>794</v>
      </c>
      <c r="B36"/>
      <c r="C36"/>
      <c r="D36"/>
      <c r="E36"/>
      <c r="F36"/>
    </row>
    <row r="37" spans="1:9" x14ac:dyDescent="0.25">
      <c r="A37" t="s">
        <v>795</v>
      </c>
      <c r="B37"/>
      <c r="C37"/>
      <c r="D37"/>
      <c r="E37"/>
      <c r="F37"/>
    </row>
    <row r="38" spans="1:9" x14ac:dyDescent="0.25">
      <c r="A38" t="s">
        <v>797</v>
      </c>
      <c r="B38"/>
      <c r="C38"/>
      <c r="D38"/>
      <c r="E38"/>
      <c r="F38"/>
    </row>
    <row r="40" spans="1:9" x14ac:dyDescent="0.25">
      <c r="A40" s="84" t="s">
        <v>15</v>
      </c>
      <c r="B40" s="84" t="s">
        <v>16</v>
      </c>
    </row>
    <row r="41" spans="1:9" x14ac:dyDescent="0.25">
      <c r="A41" t="s">
        <v>798</v>
      </c>
      <c r="B41"/>
      <c r="C41"/>
      <c r="D41"/>
      <c r="E41"/>
      <c r="F41"/>
      <c r="G41"/>
      <c r="H41"/>
      <c r="I41"/>
    </row>
    <row r="42" spans="1:9" x14ac:dyDescent="0.25">
      <c r="A42" t="s">
        <v>799</v>
      </c>
      <c r="B42"/>
      <c r="C42"/>
      <c r="D42"/>
      <c r="E42"/>
      <c r="F42"/>
      <c r="G42"/>
      <c r="H42"/>
      <c r="I42"/>
    </row>
    <row r="43" spans="1:9" x14ac:dyDescent="0.25">
      <c r="A43" t="s">
        <v>800</v>
      </c>
      <c r="B43"/>
      <c r="C43"/>
      <c r="D43"/>
      <c r="E43"/>
      <c r="F43"/>
      <c r="G43"/>
      <c r="H43"/>
      <c r="I43"/>
    </row>
    <row r="44" spans="1:9" x14ac:dyDescent="0.25">
      <c r="A44" t="s">
        <v>801</v>
      </c>
      <c r="B44"/>
      <c r="C44"/>
      <c r="D44"/>
      <c r="E44"/>
      <c r="F44"/>
      <c r="G44"/>
      <c r="H44"/>
      <c r="I44"/>
    </row>
    <row r="45" spans="1:9" x14ac:dyDescent="0.25">
      <c r="A45"/>
      <c r="B45"/>
      <c r="C45"/>
      <c r="D45"/>
      <c r="E45"/>
      <c r="F45"/>
      <c r="G45"/>
      <c r="H45"/>
      <c r="I45"/>
    </row>
    <row r="46" spans="1:9" x14ac:dyDescent="0.25">
      <c r="A46" t="s">
        <v>802</v>
      </c>
      <c r="B46"/>
      <c r="C46"/>
      <c r="D46"/>
      <c r="E46"/>
      <c r="F46"/>
      <c r="G46"/>
      <c r="H46"/>
      <c r="I46"/>
    </row>
    <row r="47" spans="1:9" x14ac:dyDescent="0.25">
      <c r="A47" t="s">
        <v>803</v>
      </c>
      <c r="B47"/>
      <c r="C47"/>
      <c r="D47"/>
      <c r="E47"/>
      <c r="F47"/>
      <c r="G47"/>
      <c r="H47"/>
      <c r="I47"/>
    </row>
    <row r="48" spans="1:9" x14ac:dyDescent="0.25">
      <c r="A48"/>
      <c r="B48"/>
      <c r="C48"/>
      <c r="D48"/>
      <c r="E48"/>
      <c r="F48"/>
      <c r="G48"/>
      <c r="H48"/>
      <c r="I48"/>
    </row>
    <row r="49" spans="1:9" x14ac:dyDescent="0.25">
      <c r="A49" t="s">
        <v>804</v>
      </c>
      <c r="B49"/>
      <c r="C49"/>
      <c r="D49"/>
      <c r="E49"/>
      <c r="F49"/>
      <c r="G49"/>
      <c r="H49"/>
      <c r="I49"/>
    </row>
    <row r="50" spans="1:9" x14ac:dyDescent="0.25">
      <c r="A50"/>
      <c r="B50"/>
      <c r="C50"/>
      <c r="D50"/>
      <c r="E50"/>
      <c r="F50"/>
      <c r="G50"/>
      <c r="H50"/>
      <c r="I50"/>
    </row>
    <row r="51" spans="1:9" x14ac:dyDescent="0.25">
      <c r="A51" t="s">
        <v>805</v>
      </c>
      <c r="B51"/>
      <c r="C51"/>
      <c r="D51"/>
      <c r="E51"/>
      <c r="F51"/>
      <c r="G51"/>
      <c r="H51"/>
      <c r="I51"/>
    </row>
    <row r="52" spans="1:9" x14ac:dyDescent="0.25">
      <c r="A52" t="s">
        <v>806</v>
      </c>
      <c r="B52"/>
      <c r="C52"/>
      <c r="D52"/>
      <c r="E52"/>
      <c r="F52"/>
      <c r="G52"/>
      <c r="H52"/>
      <c r="I52"/>
    </row>
    <row r="53" spans="1:9" x14ac:dyDescent="0.25">
      <c r="A53" t="s">
        <v>807</v>
      </c>
      <c r="B53"/>
      <c r="C53"/>
      <c r="D53"/>
      <c r="E53"/>
      <c r="F53"/>
      <c r="G53"/>
      <c r="H53"/>
      <c r="I53"/>
    </row>
    <row r="54" spans="1:9" x14ac:dyDescent="0.25">
      <c r="A54" t="s">
        <v>808</v>
      </c>
      <c r="B54"/>
      <c r="C54"/>
      <c r="D54"/>
      <c r="E54"/>
      <c r="F54"/>
      <c r="G54"/>
      <c r="H54"/>
      <c r="I54"/>
    </row>
    <row r="55" spans="1:9" x14ac:dyDescent="0.25">
      <c r="A55" t="s">
        <v>809</v>
      </c>
      <c r="B55"/>
      <c r="C55"/>
      <c r="D55"/>
      <c r="E55"/>
      <c r="F55"/>
      <c r="G55"/>
      <c r="H55"/>
      <c r="I55"/>
    </row>
    <row r="56" spans="1:9" x14ac:dyDescent="0.25">
      <c r="A56"/>
      <c r="B56"/>
      <c r="C56"/>
      <c r="D56"/>
      <c r="E56"/>
      <c r="F56"/>
      <c r="G56"/>
      <c r="H56"/>
      <c r="I56"/>
    </row>
    <row r="57" spans="1:9" x14ac:dyDescent="0.25">
      <c r="A57" t="s">
        <v>810</v>
      </c>
      <c r="B57"/>
      <c r="C57"/>
      <c r="D57"/>
      <c r="E57"/>
      <c r="F57"/>
      <c r="G57"/>
      <c r="H57"/>
      <c r="I57"/>
    </row>
    <row r="58" spans="1:9" x14ac:dyDescent="0.25">
      <c r="A58" t="s">
        <v>811</v>
      </c>
      <c r="B58"/>
      <c r="C58"/>
      <c r="D58"/>
      <c r="E58"/>
      <c r="F58"/>
      <c r="G58"/>
      <c r="H58"/>
      <c r="I58"/>
    </row>
    <row r="59" spans="1:9" x14ac:dyDescent="0.25">
      <c r="A59" t="s">
        <v>812</v>
      </c>
      <c r="B59"/>
      <c r="C59"/>
      <c r="D59"/>
      <c r="E59"/>
      <c r="F59"/>
      <c r="G59"/>
      <c r="H59"/>
      <c r="I59"/>
    </row>
    <row r="60" spans="1:9" x14ac:dyDescent="0.25">
      <c r="A60"/>
      <c r="B60"/>
      <c r="C60"/>
      <c r="D60"/>
      <c r="E60"/>
      <c r="F60"/>
      <c r="G60"/>
      <c r="H60"/>
      <c r="I60"/>
    </row>
    <row r="61" spans="1:9" x14ac:dyDescent="0.25">
      <c r="A61" t="s">
        <v>813</v>
      </c>
      <c r="B61"/>
      <c r="C61"/>
      <c r="D61"/>
      <c r="E61"/>
      <c r="F61"/>
      <c r="G61"/>
      <c r="H61"/>
      <c r="I61"/>
    </row>
    <row r="62" spans="1:9" x14ac:dyDescent="0.25">
      <c r="A62"/>
      <c r="B62"/>
      <c r="C62"/>
      <c r="D62"/>
      <c r="E62"/>
      <c r="F62"/>
      <c r="G62"/>
      <c r="H62"/>
      <c r="I62"/>
    </row>
    <row r="63" spans="1:9" x14ac:dyDescent="0.25">
      <c r="A63" t="s">
        <v>814</v>
      </c>
      <c r="B63"/>
      <c r="C63"/>
      <c r="D63"/>
      <c r="E63"/>
      <c r="F63"/>
      <c r="G63"/>
      <c r="H63"/>
      <c r="I63"/>
    </row>
    <row r="64" spans="1:9" x14ac:dyDescent="0.25">
      <c r="A64" t="s">
        <v>815</v>
      </c>
      <c r="B64"/>
      <c r="C64"/>
      <c r="D64"/>
      <c r="E64"/>
      <c r="F64"/>
      <c r="G64"/>
      <c r="H64"/>
    </row>
    <row r="67" spans="1:13" x14ac:dyDescent="0.25">
      <c r="A67" s="84" t="s">
        <v>17</v>
      </c>
      <c r="B67" s="84" t="s">
        <v>18</v>
      </c>
    </row>
    <row r="69" spans="1:13" x14ac:dyDescent="0.25">
      <c r="A69" t="s">
        <v>816</v>
      </c>
      <c r="B69"/>
      <c r="C69"/>
      <c r="D69"/>
      <c r="E69"/>
      <c r="F69"/>
    </row>
    <row r="70" spans="1:13" x14ac:dyDescent="0.25">
      <c r="A70" t="s">
        <v>817</v>
      </c>
      <c r="B70"/>
      <c r="C70"/>
      <c r="D70"/>
      <c r="E70"/>
      <c r="F70"/>
    </row>
    <row r="71" spans="1:13" x14ac:dyDescent="0.25">
      <c r="A71" t="s">
        <v>818</v>
      </c>
      <c r="B71"/>
      <c r="C71"/>
      <c r="D71"/>
      <c r="E71"/>
      <c r="F71"/>
    </row>
    <row r="72" spans="1:13" x14ac:dyDescent="0.25">
      <c r="A72" t="s">
        <v>819</v>
      </c>
      <c r="B72"/>
      <c r="C72"/>
      <c r="D72"/>
      <c r="E72"/>
      <c r="F72"/>
      <c r="G72" s="86"/>
      <c r="H72" s="86"/>
      <c r="I72" s="86"/>
      <c r="J72" s="86"/>
      <c r="K72" s="86"/>
      <c r="L72" s="86"/>
      <c r="M72" s="86"/>
    </row>
    <row r="73" spans="1:13" x14ac:dyDescent="0.25">
      <c r="A73"/>
      <c r="B73"/>
      <c r="C73"/>
      <c r="D73"/>
      <c r="E73"/>
      <c r="F73"/>
      <c r="G73" s="86"/>
      <c r="H73" s="86"/>
      <c r="I73" s="86"/>
      <c r="J73" s="86"/>
      <c r="K73" s="86"/>
      <c r="L73" s="86"/>
      <c r="M73" s="86"/>
    </row>
    <row r="74" spans="1:13" x14ac:dyDescent="0.25">
      <c r="A74" t="s">
        <v>820</v>
      </c>
      <c r="B74"/>
      <c r="C74"/>
      <c r="D74"/>
      <c r="E74"/>
      <c r="F74"/>
      <c r="G74" s="86"/>
      <c r="H74" s="86"/>
      <c r="I74" s="86"/>
      <c r="J74" s="86"/>
      <c r="K74" s="86"/>
      <c r="L74" s="86"/>
      <c r="M74" s="86"/>
    </row>
    <row r="75" spans="1:13" x14ac:dyDescent="0.25">
      <c r="A75" t="s">
        <v>821</v>
      </c>
      <c r="B75"/>
      <c r="C75"/>
      <c r="D75"/>
      <c r="E75"/>
      <c r="F75"/>
    </row>
    <row r="76" spans="1:13" x14ac:dyDescent="0.25">
      <c r="A76" t="s">
        <v>822</v>
      </c>
      <c r="B76"/>
      <c r="C76"/>
      <c r="D76"/>
      <c r="E76"/>
      <c r="F76"/>
    </row>
    <row r="77" spans="1:13" x14ac:dyDescent="0.25">
      <c r="A77" t="s">
        <v>823</v>
      </c>
      <c r="B77"/>
      <c r="C77"/>
      <c r="D77"/>
      <c r="E77"/>
      <c r="F77"/>
    </row>
    <row r="79" spans="1:13" x14ac:dyDescent="0.25">
      <c r="A79" s="84" t="s">
        <v>20</v>
      </c>
      <c r="B79" s="84" t="s">
        <v>21</v>
      </c>
    </row>
    <row r="81" spans="1:8" x14ac:dyDescent="0.25">
      <c r="A81" t="s">
        <v>824</v>
      </c>
      <c r="B81"/>
      <c r="C81"/>
      <c r="D81"/>
      <c r="E81"/>
      <c r="F81"/>
      <c r="G81"/>
      <c r="H81"/>
    </row>
    <row r="82" spans="1:8" x14ac:dyDescent="0.25">
      <c r="A82" t="s">
        <v>825</v>
      </c>
      <c r="B82"/>
      <c r="C82"/>
      <c r="D82"/>
      <c r="E82"/>
      <c r="F82"/>
      <c r="G82"/>
      <c r="H82"/>
    </row>
    <row r="83" spans="1:8" x14ac:dyDescent="0.25">
      <c r="A83"/>
      <c r="B83"/>
      <c r="C83"/>
      <c r="D83"/>
      <c r="E83"/>
      <c r="F83"/>
      <c r="G83"/>
      <c r="H83"/>
    </row>
    <row r="84" spans="1:8" x14ac:dyDescent="0.25">
      <c r="A84" t="s">
        <v>826</v>
      </c>
      <c r="B84"/>
      <c r="C84"/>
      <c r="D84"/>
      <c r="E84"/>
      <c r="F84"/>
      <c r="G84"/>
      <c r="H84"/>
    </row>
    <row r="85" spans="1:8" x14ac:dyDescent="0.25">
      <c r="A85" t="s">
        <v>827</v>
      </c>
      <c r="B85"/>
      <c r="C85"/>
      <c r="D85"/>
      <c r="E85"/>
      <c r="F85"/>
      <c r="G85"/>
      <c r="H85"/>
    </row>
    <row r="86" spans="1:8" x14ac:dyDescent="0.25">
      <c r="A86"/>
      <c r="B86"/>
      <c r="C86"/>
      <c r="D86"/>
      <c r="E86"/>
      <c r="F86"/>
      <c r="G86"/>
      <c r="H86"/>
    </row>
    <row r="87" spans="1:8" x14ac:dyDescent="0.25">
      <c r="A87" t="s">
        <v>828</v>
      </c>
      <c r="B87"/>
      <c r="C87"/>
      <c r="D87"/>
      <c r="E87"/>
      <c r="F87"/>
      <c r="G87"/>
      <c r="H87"/>
    </row>
    <row r="88" spans="1:8" x14ac:dyDescent="0.25">
      <c r="A88" t="s">
        <v>829</v>
      </c>
      <c r="B88"/>
      <c r="C88"/>
      <c r="D88"/>
      <c r="E88"/>
      <c r="F88"/>
      <c r="G88"/>
      <c r="H88"/>
    </row>
    <row r="89" spans="1:8" x14ac:dyDescent="0.25">
      <c r="A89"/>
      <c r="B89"/>
      <c r="C89"/>
      <c r="D89"/>
      <c r="E89"/>
      <c r="F89"/>
      <c r="G89"/>
      <c r="H89"/>
    </row>
    <row r="90" spans="1:8" x14ac:dyDescent="0.25">
      <c r="A90" t="s">
        <v>830</v>
      </c>
      <c r="B90"/>
      <c r="C90"/>
      <c r="D90"/>
      <c r="E90"/>
      <c r="F90"/>
      <c r="G90"/>
      <c r="H90"/>
    </row>
    <row r="91" spans="1:8" x14ac:dyDescent="0.25">
      <c r="A91"/>
      <c r="B91"/>
      <c r="C91"/>
      <c r="D91"/>
      <c r="E91"/>
      <c r="F91"/>
      <c r="G91"/>
      <c r="H91"/>
    </row>
    <row r="92" spans="1:8" x14ac:dyDescent="0.25">
      <c r="A92" t="s">
        <v>831</v>
      </c>
      <c r="B92"/>
      <c r="C92"/>
      <c r="D92"/>
      <c r="E92"/>
      <c r="F92"/>
      <c r="G92"/>
      <c r="H92"/>
    </row>
    <row r="93" spans="1:8" x14ac:dyDescent="0.25">
      <c r="A93" t="s">
        <v>832</v>
      </c>
      <c r="B93"/>
      <c r="C93"/>
      <c r="D93"/>
      <c r="E93"/>
      <c r="F93"/>
      <c r="G93"/>
      <c r="H93"/>
    </row>
    <row r="94" spans="1:8" x14ac:dyDescent="0.25">
      <c r="A94" t="s">
        <v>833</v>
      </c>
      <c r="B94"/>
      <c r="C94"/>
      <c r="D94"/>
      <c r="E94"/>
      <c r="F94"/>
      <c r="G94"/>
      <c r="H94"/>
    </row>
    <row r="95" spans="1:8" x14ac:dyDescent="0.25">
      <c r="A95"/>
      <c r="B95"/>
      <c r="C95"/>
      <c r="D95"/>
      <c r="E95"/>
      <c r="F95"/>
      <c r="G95"/>
      <c r="H95"/>
    </row>
    <row r="96" spans="1:8" x14ac:dyDescent="0.25">
      <c r="A96" t="s">
        <v>834</v>
      </c>
      <c r="B96"/>
      <c r="C96"/>
      <c r="D96"/>
      <c r="E96"/>
      <c r="F96"/>
      <c r="G96"/>
      <c r="H96"/>
    </row>
    <row r="97" spans="1:13" x14ac:dyDescent="0.25">
      <c r="A97" t="s">
        <v>835</v>
      </c>
      <c r="B97"/>
      <c r="C97"/>
      <c r="D97"/>
      <c r="E97"/>
      <c r="F97"/>
      <c r="G97"/>
      <c r="H97"/>
    </row>
    <row r="98" spans="1:13" x14ac:dyDescent="0.25">
      <c r="A98" t="s">
        <v>836</v>
      </c>
      <c r="B98"/>
      <c r="C98"/>
      <c r="D98"/>
      <c r="E98"/>
      <c r="F98"/>
      <c r="G98"/>
      <c r="H98"/>
    </row>
    <row r="99" spans="1:13" x14ac:dyDescent="0.25">
      <c r="A99" t="s">
        <v>837</v>
      </c>
      <c r="B99" s="1"/>
      <c r="C99" s="1"/>
      <c r="D99" s="1"/>
      <c r="E99" s="1"/>
      <c r="F99" s="1"/>
      <c r="G99" s="1"/>
      <c r="H99" s="1"/>
    </row>
    <row r="100" spans="1:13" x14ac:dyDescent="0.25">
      <c r="A100"/>
      <c r="B100" s="1"/>
      <c r="C100" s="1"/>
      <c r="D100" s="1"/>
      <c r="E100" s="1"/>
      <c r="F100" s="1"/>
      <c r="G100" s="1"/>
      <c r="H100" s="1"/>
    </row>
    <row r="101" spans="1:13" x14ac:dyDescent="0.25">
      <c r="A101" t="s">
        <v>838</v>
      </c>
      <c r="B101" s="1"/>
      <c r="C101" s="1"/>
      <c r="D101" s="1"/>
      <c r="E101" s="1"/>
      <c r="F101" s="1"/>
      <c r="G101" s="1"/>
      <c r="H101" s="1"/>
    </row>
    <row r="102" spans="1:13" x14ac:dyDescent="0.25">
      <c r="A102" t="s">
        <v>839</v>
      </c>
      <c r="B102" s="1"/>
      <c r="C102" s="1"/>
      <c r="D102" s="1"/>
      <c r="E102" s="1"/>
      <c r="F102" s="1"/>
      <c r="G102" s="1"/>
      <c r="H102" s="1"/>
    </row>
    <row r="103" spans="1:13" x14ac:dyDescent="0.25">
      <c r="A103" t="s">
        <v>840</v>
      </c>
      <c r="B103" s="1"/>
      <c r="C103" s="1"/>
      <c r="D103" s="1"/>
      <c r="E103" s="1"/>
      <c r="F103" s="1"/>
      <c r="G103" s="1"/>
      <c r="H103" s="1"/>
    </row>
    <row r="104" spans="1:13" x14ac:dyDescent="0.25">
      <c r="A104" t="s">
        <v>841</v>
      </c>
      <c r="B104" s="1"/>
      <c r="C104" s="1"/>
      <c r="D104" s="1"/>
      <c r="E104" s="1"/>
      <c r="F104" s="1"/>
      <c r="G104" s="1"/>
      <c r="H104" s="1"/>
    </row>
    <row r="105" spans="1:13" x14ac:dyDescent="0.25">
      <c r="B105" s="86"/>
      <c r="C105" s="86"/>
      <c r="D105" s="86"/>
      <c r="E105" s="86"/>
      <c r="F105" s="86"/>
      <c r="G105" s="86"/>
      <c r="H105" s="86"/>
      <c r="I105" s="86"/>
      <c r="J105" s="86"/>
      <c r="K105" s="86"/>
      <c r="L105" s="86"/>
      <c r="M105" s="86"/>
    </row>
    <row r="106" spans="1:13" x14ac:dyDescent="0.25">
      <c r="A106" s="84" t="s">
        <v>22</v>
      </c>
      <c r="B106" s="84" t="s">
        <v>23</v>
      </c>
    </row>
    <row r="107" spans="1:13" ht="40.5" customHeight="1" x14ac:dyDescent="0.25">
      <c r="B107" s="459" t="s">
        <v>24</v>
      </c>
      <c r="C107" s="459"/>
      <c r="D107" s="459"/>
      <c r="E107" s="459"/>
      <c r="F107" s="459"/>
      <c r="G107" s="459"/>
      <c r="H107" s="459"/>
      <c r="I107" s="459"/>
      <c r="J107" s="459"/>
      <c r="K107" s="459"/>
      <c r="L107" s="86"/>
      <c r="M107" s="86"/>
    </row>
    <row r="108" spans="1:13" x14ac:dyDescent="0.25">
      <c r="B108" s="88"/>
      <c r="C108" s="88"/>
      <c r="D108" s="88"/>
      <c r="E108" s="88"/>
      <c r="F108" s="88"/>
      <c r="G108" s="88"/>
      <c r="H108" s="88"/>
      <c r="I108" s="88"/>
      <c r="J108" s="88"/>
      <c r="K108" s="88"/>
      <c r="L108" s="86"/>
      <c r="M108" s="86"/>
    </row>
    <row r="109" spans="1:13" x14ac:dyDescent="0.25">
      <c r="A109" t="s">
        <v>842</v>
      </c>
      <c r="B109"/>
      <c r="C109"/>
      <c r="D109"/>
      <c r="E109"/>
      <c r="F109"/>
      <c r="G109"/>
      <c r="H109"/>
      <c r="I109"/>
      <c r="J109"/>
      <c r="K109" s="88"/>
      <c r="L109" s="86"/>
      <c r="M109" s="86"/>
    </row>
    <row r="110" spans="1:13" x14ac:dyDescent="0.25">
      <c r="A110"/>
      <c r="B110"/>
      <c r="C110"/>
      <c r="D110"/>
      <c r="E110"/>
      <c r="F110"/>
      <c r="G110"/>
      <c r="H110"/>
      <c r="I110"/>
      <c r="J110"/>
    </row>
    <row r="111" spans="1:13" x14ac:dyDescent="0.25">
      <c r="A111" t="s">
        <v>816</v>
      </c>
      <c r="B111"/>
      <c r="C111"/>
      <c r="D111"/>
      <c r="E111"/>
      <c r="F111"/>
      <c r="G111"/>
      <c r="H111"/>
      <c r="I111"/>
      <c r="J111"/>
    </row>
    <row r="112" spans="1:13" x14ac:dyDescent="0.25">
      <c r="A112" t="s">
        <v>790</v>
      </c>
      <c r="B112"/>
      <c r="C112"/>
      <c r="D112"/>
      <c r="E112"/>
      <c r="F112"/>
      <c r="G112"/>
      <c r="H112"/>
      <c r="I112"/>
      <c r="J112"/>
    </row>
    <row r="113" spans="1:13" x14ac:dyDescent="0.25">
      <c r="A113" t="s">
        <v>843</v>
      </c>
      <c r="B113"/>
      <c r="C113"/>
      <c r="D113"/>
      <c r="E113"/>
      <c r="F113"/>
      <c r="G113"/>
      <c r="H113"/>
      <c r="I113"/>
      <c r="J113"/>
    </row>
    <row r="114" spans="1:13" x14ac:dyDescent="0.25">
      <c r="A114" t="s">
        <v>844</v>
      </c>
      <c r="B114"/>
      <c r="C114"/>
      <c r="D114"/>
      <c r="E114"/>
      <c r="F114" s="1"/>
      <c r="G114" s="1"/>
      <c r="H114" s="1"/>
      <c r="I114" s="1"/>
      <c r="J114" s="1"/>
    </row>
    <row r="115" spans="1:13" x14ac:dyDescent="0.25">
      <c r="A115"/>
      <c r="B115"/>
      <c r="C115"/>
      <c r="D115"/>
      <c r="E115"/>
      <c r="F115" s="1"/>
      <c r="G115" s="1"/>
      <c r="H115" s="1"/>
      <c r="I115" s="1"/>
      <c r="J115" s="1"/>
    </row>
    <row r="116" spans="1:13" x14ac:dyDescent="0.25">
      <c r="A116" t="s">
        <v>845</v>
      </c>
      <c r="B116"/>
      <c r="C116"/>
      <c r="D116"/>
      <c r="E116"/>
      <c r="F116" s="1"/>
      <c r="G116" s="1"/>
      <c r="H116" s="1"/>
      <c r="I116" s="1"/>
      <c r="J116" s="1"/>
    </row>
    <row r="117" spans="1:13" x14ac:dyDescent="0.25">
      <c r="A117" t="s">
        <v>846</v>
      </c>
      <c r="B117"/>
      <c r="C117"/>
      <c r="D117"/>
      <c r="E117"/>
      <c r="F117"/>
      <c r="G117"/>
      <c r="H117"/>
      <c r="I117"/>
      <c r="J117"/>
      <c r="K117" s="86"/>
      <c r="L117" s="86"/>
      <c r="M117" s="86"/>
    </row>
    <row r="118" spans="1:13" x14ac:dyDescent="0.25">
      <c r="A118" t="s">
        <v>847</v>
      </c>
      <c r="B118"/>
      <c r="C118"/>
      <c r="D118"/>
      <c r="E118"/>
      <c r="F118"/>
      <c r="G118"/>
      <c r="H118"/>
      <c r="I118"/>
      <c r="J118"/>
      <c r="K118" s="86"/>
      <c r="L118" s="86"/>
      <c r="M118" s="86"/>
    </row>
    <row r="119" spans="1:13" x14ac:dyDescent="0.25">
      <c r="A119" t="s">
        <v>848</v>
      </c>
      <c r="B119"/>
      <c r="C119"/>
      <c r="D119"/>
      <c r="E119"/>
      <c r="F119"/>
      <c r="G119"/>
      <c r="H119"/>
      <c r="I119"/>
      <c r="J119"/>
      <c r="K119" s="86"/>
      <c r="L119" s="86"/>
      <c r="M119" s="86"/>
    </row>
  </sheetData>
  <mergeCells count="3">
    <mergeCell ref="A1:I1"/>
    <mergeCell ref="A3:K6"/>
    <mergeCell ref="B107:K107"/>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41903-5C39-490D-ADAA-B37518E58896}">
  <dimension ref="A1:M81"/>
  <sheetViews>
    <sheetView workbookViewId="0">
      <selection sqref="A1:XFD1048576"/>
    </sheetView>
  </sheetViews>
  <sheetFormatPr defaultRowHeight="15" x14ac:dyDescent="0.25"/>
  <cols>
    <col min="1" max="1" width="9.140625" style="84"/>
    <col min="2" max="2" width="10.140625" style="84" customWidth="1"/>
    <col min="3" max="16384" width="9.140625" style="84"/>
  </cols>
  <sheetData>
    <row r="1" spans="1:13" ht="21" x14ac:dyDescent="0.35">
      <c r="A1" s="457" t="s">
        <v>1400</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5" x14ac:dyDescent="0.25">
      <c r="A17" s="84" t="s">
        <v>10</v>
      </c>
      <c r="B17" s="84" t="s">
        <v>11</v>
      </c>
    </row>
    <row r="19" spans="1:5" x14ac:dyDescent="0.25">
      <c r="B19" t="s">
        <v>320</v>
      </c>
      <c r="C19"/>
      <c r="D19"/>
      <c r="E19" s="68">
        <v>873.48</v>
      </c>
    </row>
    <row r="20" spans="1:5" x14ac:dyDescent="0.25">
      <c r="B20" t="s">
        <v>381</v>
      </c>
      <c r="C20"/>
      <c r="D20"/>
      <c r="E20">
        <v>1.695E-2</v>
      </c>
    </row>
    <row r="21" spans="1:5" x14ac:dyDescent="0.25">
      <c r="B21" t="s">
        <v>495</v>
      </c>
      <c r="C21"/>
      <c r="D21"/>
      <c r="E21" s="68">
        <f>SUM(E19*E20)</f>
        <v>14.805486</v>
      </c>
    </row>
    <row r="24" spans="1:5" x14ac:dyDescent="0.25">
      <c r="A24" s="84" t="s">
        <v>12</v>
      </c>
      <c r="B24" s="84" t="s">
        <v>13</v>
      </c>
    </row>
    <row r="26" spans="1:5" x14ac:dyDescent="0.25">
      <c r="B26" t="s">
        <v>320</v>
      </c>
      <c r="C26"/>
      <c r="D26"/>
      <c r="E26" s="68">
        <v>873.48</v>
      </c>
    </row>
    <row r="27" spans="1:5" x14ac:dyDescent="0.25">
      <c r="B27" t="s">
        <v>381</v>
      </c>
      <c r="C27"/>
      <c r="D27"/>
      <c r="E27">
        <v>1.695E-2</v>
      </c>
    </row>
    <row r="28" spans="1:5" x14ac:dyDescent="0.25">
      <c r="B28" t="s">
        <v>495</v>
      </c>
      <c r="C28"/>
      <c r="D28"/>
      <c r="E28" s="68">
        <f>SUM(E26*E27)</f>
        <v>14.805486</v>
      </c>
    </row>
    <row r="31" spans="1:5" x14ac:dyDescent="0.25">
      <c r="A31" s="84" t="s">
        <v>15</v>
      </c>
      <c r="B31" s="84" t="s">
        <v>16</v>
      </c>
    </row>
    <row r="33" spans="1:6" x14ac:dyDescent="0.25">
      <c r="B33" t="s">
        <v>191</v>
      </c>
      <c r="C33" t="s">
        <v>383</v>
      </c>
      <c r="D33"/>
      <c r="E33"/>
      <c r="F33" s="68">
        <v>655.11</v>
      </c>
    </row>
    <row r="34" spans="1:6" x14ac:dyDescent="0.25">
      <c r="B34"/>
      <c r="C34" t="s">
        <v>381</v>
      </c>
      <c r="D34"/>
      <c r="E34"/>
      <c r="F34">
        <v>1.695E-2</v>
      </c>
    </row>
    <row r="35" spans="1:6" x14ac:dyDescent="0.25">
      <c r="B35"/>
      <c r="C35" t="s">
        <v>384</v>
      </c>
      <c r="D35"/>
      <c r="E35"/>
      <c r="F35" s="68">
        <f>SUM(F33*F34)</f>
        <v>11.1041145</v>
      </c>
    </row>
    <row r="36" spans="1:6" x14ac:dyDescent="0.25">
      <c r="B36"/>
      <c r="C36"/>
      <c r="D36"/>
      <c r="E36"/>
      <c r="F36"/>
    </row>
    <row r="37" spans="1:6" x14ac:dyDescent="0.25">
      <c r="B37" t="s">
        <v>190</v>
      </c>
      <c r="C37" t="s">
        <v>385</v>
      </c>
      <c r="D37"/>
      <c r="E37"/>
      <c r="F37" s="68">
        <v>655.11</v>
      </c>
    </row>
    <row r="38" spans="1:6" x14ac:dyDescent="0.25">
      <c r="B38"/>
      <c r="C38" t="s">
        <v>381</v>
      </c>
      <c r="D38"/>
      <c r="E38"/>
      <c r="F38">
        <v>1.695E-2</v>
      </c>
    </row>
    <row r="39" spans="1:6" x14ac:dyDescent="0.25">
      <c r="B39"/>
      <c r="C39" t="s">
        <v>386</v>
      </c>
      <c r="D39"/>
      <c r="E39"/>
      <c r="F39" s="68">
        <f>SUM(F37*F38)</f>
        <v>11.1041145</v>
      </c>
    </row>
    <row r="40" spans="1:6" x14ac:dyDescent="0.25">
      <c r="B40"/>
      <c r="C40"/>
      <c r="D40"/>
      <c r="E40"/>
      <c r="F40"/>
    </row>
    <row r="41" spans="1:6" x14ac:dyDescent="0.25">
      <c r="B41"/>
      <c r="C41"/>
      <c r="D41" t="s">
        <v>384</v>
      </c>
      <c r="E41"/>
      <c r="F41" s="68">
        <v>10.17</v>
      </c>
    </row>
    <row r="42" spans="1:6" x14ac:dyDescent="0.25">
      <c r="B42"/>
      <c r="C42"/>
      <c r="D42" t="s">
        <v>386</v>
      </c>
      <c r="E42"/>
      <c r="F42" s="68">
        <v>-10.17</v>
      </c>
    </row>
    <row r="43" spans="1:6" x14ac:dyDescent="0.25">
      <c r="B43"/>
      <c r="C43"/>
      <c r="D43" t="s">
        <v>496</v>
      </c>
      <c r="E43"/>
      <c r="F43" t="s">
        <v>757</v>
      </c>
    </row>
    <row r="46" spans="1:6" x14ac:dyDescent="0.25">
      <c r="A46" s="84" t="s">
        <v>17</v>
      </c>
      <c r="B46" s="84" t="s">
        <v>18</v>
      </c>
    </row>
    <row r="48" spans="1:6" x14ac:dyDescent="0.25">
      <c r="B48" t="s">
        <v>320</v>
      </c>
      <c r="C48"/>
      <c r="D48"/>
      <c r="E48" s="68">
        <v>459.13</v>
      </c>
    </row>
    <row r="49" spans="1:7" x14ac:dyDescent="0.25">
      <c r="B49" t="s">
        <v>381</v>
      </c>
      <c r="C49"/>
      <c r="D49"/>
      <c r="E49">
        <v>1.695E-2</v>
      </c>
    </row>
    <row r="50" spans="1:7" x14ac:dyDescent="0.25">
      <c r="B50" t="s">
        <v>495</v>
      </c>
      <c r="C50"/>
      <c r="D50"/>
      <c r="E50" s="68">
        <f>SUM(E48*E49)</f>
        <v>7.7822534999999995</v>
      </c>
    </row>
    <row r="53" spans="1:7" x14ac:dyDescent="0.25">
      <c r="A53" s="84" t="s">
        <v>20</v>
      </c>
      <c r="B53" s="84" t="s">
        <v>21</v>
      </c>
    </row>
    <row r="55" spans="1:7" x14ac:dyDescent="0.25">
      <c r="B55" t="s">
        <v>497</v>
      </c>
      <c r="C55" s="176">
        <v>74000</v>
      </c>
      <c r="D55" t="s">
        <v>178</v>
      </c>
      <c r="E55"/>
      <c r="F55" t="s">
        <v>5</v>
      </c>
      <c r="G55" s="68">
        <v>393.54</v>
      </c>
    </row>
    <row r="56" spans="1:7" x14ac:dyDescent="0.25">
      <c r="B56"/>
      <c r="C56"/>
      <c r="D56" t="s">
        <v>156</v>
      </c>
      <c r="E56"/>
      <c r="F56" t="s">
        <v>14</v>
      </c>
      <c r="G56">
        <v>1.695E-2</v>
      </c>
    </row>
    <row r="57" spans="1:7" x14ac:dyDescent="0.25">
      <c r="B57"/>
      <c r="C57"/>
      <c r="D57" t="s">
        <v>389</v>
      </c>
      <c r="E57"/>
      <c r="F57" t="s">
        <v>14</v>
      </c>
      <c r="G57" s="68">
        <f>SUM(G55*G56)</f>
        <v>6.6705030000000001</v>
      </c>
    </row>
    <row r="58" spans="1:7" x14ac:dyDescent="0.25">
      <c r="B58"/>
      <c r="C58"/>
      <c r="D58"/>
      <c r="E58"/>
      <c r="F58"/>
      <c r="G58"/>
    </row>
    <row r="59" spans="1:7" x14ac:dyDescent="0.25">
      <c r="B59" t="s">
        <v>498</v>
      </c>
      <c r="C59" s="176">
        <v>80000</v>
      </c>
      <c r="D59" t="s">
        <v>178</v>
      </c>
      <c r="E59"/>
      <c r="F59"/>
      <c r="G59" s="68">
        <v>436.74</v>
      </c>
    </row>
    <row r="60" spans="1:7" x14ac:dyDescent="0.25">
      <c r="B60"/>
      <c r="C60"/>
      <c r="D60" t="s">
        <v>156</v>
      </c>
      <c r="E60"/>
      <c r="F60"/>
      <c r="G60">
        <v>1.695E-2</v>
      </c>
    </row>
    <row r="61" spans="1:7" x14ac:dyDescent="0.25">
      <c r="B61"/>
      <c r="C61"/>
      <c r="D61" t="s">
        <v>73</v>
      </c>
      <c r="E61"/>
      <c r="F61"/>
      <c r="G61" s="68">
        <f>SUM(G59*G60)</f>
        <v>7.4027430000000001</v>
      </c>
    </row>
    <row r="62" spans="1:7" x14ac:dyDescent="0.25">
      <c r="B62"/>
      <c r="C62"/>
      <c r="D62"/>
      <c r="E62"/>
      <c r="F62"/>
      <c r="G62"/>
    </row>
    <row r="63" spans="1:7" x14ac:dyDescent="0.25">
      <c r="B63"/>
      <c r="C63"/>
      <c r="D63" t="s">
        <v>73</v>
      </c>
      <c r="E63"/>
      <c r="F63"/>
      <c r="G63" s="68">
        <v>7.4</v>
      </c>
    </row>
    <row r="64" spans="1:7" x14ac:dyDescent="0.25">
      <c r="B64"/>
      <c r="C64"/>
      <c r="D64" t="s">
        <v>389</v>
      </c>
      <c r="E64"/>
      <c r="F64"/>
      <c r="G64" s="68">
        <v>-6.67</v>
      </c>
    </row>
    <row r="65" spans="1:13" x14ac:dyDescent="0.25">
      <c r="B65" s="1"/>
      <c r="C65"/>
      <c r="D65" s="1" t="s">
        <v>499</v>
      </c>
      <c r="E65" s="1"/>
      <c r="F65" s="1"/>
      <c r="G65" s="81">
        <f>SUM(G63:G64)</f>
        <v>0.73000000000000043</v>
      </c>
    </row>
    <row r="66" spans="1:13" x14ac:dyDescent="0.25">
      <c r="B66" s="86"/>
      <c r="C66" s="86"/>
      <c r="D66" s="86"/>
      <c r="E66" s="86"/>
      <c r="F66" s="86"/>
      <c r="G66" s="86"/>
      <c r="H66" s="86"/>
      <c r="I66" s="86"/>
      <c r="J66" s="86"/>
      <c r="K66" s="86"/>
      <c r="L66" s="86"/>
      <c r="M66" s="86"/>
    </row>
    <row r="67" spans="1:13" x14ac:dyDescent="0.25">
      <c r="B67" s="86"/>
      <c r="C67" s="86"/>
      <c r="D67" s="86"/>
      <c r="E67" s="86"/>
      <c r="F67" s="86"/>
      <c r="G67" s="86"/>
      <c r="H67" s="86"/>
      <c r="I67" s="86"/>
      <c r="J67" s="86"/>
      <c r="K67" s="86"/>
      <c r="L67" s="86"/>
      <c r="M67" s="86"/>
    </row>
    <row r="68" spans="1:13" x14ac:dyDescent="0.25">
      <c r="A68" s="84" t="s">
        <v>22</v>
      </c>
      <c r="B68" s="84" t="s">
        <v>23</v>
      </c>
    </row>
    <row r="69" spans="1:13" ht="40.5" customHeight="1" x14ac:dyDescent="0.25">
      <c r="B69" s="459" t="s">
        <v>24</v>
      </c>
      <c r="C69" s="459"/>
      <c r="D69" s="459"/>
      <c r="E69" s="459"/>
      <c r="F69" s="459"/>
      <c r="G69" s="459"/>
      <c r="H69" s="459"/>
      <c r="I69" s="459"/>
      <c r="J69" s="459"/>
      <c r="K69" s="459"/>
      <c r="L69" s="86"/>
      <c r="M69" s="86"/>
    </row>
    <row r="70" spans="1:13" x14ac:dyDescent="0.25">
      <c r="B70" s="88"/>
      <c r="C70" s="88"/>
      <c r="D70" s="88"/>
      <c r="E70" s="88"/>
      <c r="F70" s="88"/>
      <c r="G70" s="88"/>
      <c r="H70" s="88"/>
      <c r="I70" s="88"/>
      <c r="J70" s="88"/>
      <c r="K70" s="88"/>
      <c r="L70" s="86"/>
      <c r="M70" s="86"/>
    </row>
    <row r="71" spans="1:13" x14ac:dyDescent="0.25">
      <c r="B71" t="s">
        <v>320</v>
      </c>
      <c r="C71"/>
      <c r="D71"/>
      <c r="E71" s="68">
        <v>402.8</v>
      </c>
      <c r="F71" s="88"/>
      <c r="G71" s="88"/>
      <c r="H71" s="88"/>
      <c r="I71" s="88"/>
      <c r="J71" s="88"/>
      <c r="K71" s="88"/>
      <c r="L71" s="86"/>
      <c r="M71" s="86"/>
    </row>
    <row r="72" spans="1:13" x14ac:dyDescent="0.25">
      <c r="B72" t="s">
        <v>381</v>
      </c>
      <c r="C72"/>
      <c r="D72"/>
      <c r="E72">
        <v>1.695E-2</v>
      </c>
    </row>
    <row r="73" spans="1:13" x14ac:dyDescent="0.25">
      <c r="B73" t="s">
        <v>495</v>
      </c>
      <c r="C73"/>
      <c r="D73"/>
      <c r="E73" s="68">
        <f>SUM(E71*E72)</f>
        <v>6.8274600000000003</v>
      </c>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row r="81" spans="2:13" x14ac:dyDescent="0.25">
      <c r="B81" s="86"/>
      <c r="C81" s="86"/>
      <c r="D81" s="86"/>
      <c r="E81" s="86"/>
      <c r="F81" s="86"/>
      <c r="G81" s="86"/>
      <c r="H81" s="86"/>
      <c r="I81" s="86"/>
      <c r="J81" s="86"/>
      <c r="K81" s="86"/>
      <c r="L81" s="86"/>
      <c r="M81" s="86"/>
    </row>
  </sheetData>
  <mergeCells count="3">
    <mergeCell ref="A1:I1"/>
    <mergeCell ref="A3:K6"/>
    <mergeCell ref="B69:K6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E0E62-FA29-4610-A4AC-53C4EAD98484}">
  <dimension ref="A1:M80"/>
  <sheetViews>
    <sheetView workbookViewId="0">
      <selection sqref="A1:XFD1048576"/>
    </sheetView>
  </sheetViews>
  <sheetFormatPr defaultRowHeight="15" x14ac:dyDescent="0.25"/>
  <cols>
    <col min="1" max="16384" width="9.140625" style="84"/>
  </cols>
  <sheetData>
    <row r="1" spans="1:13" ht="21" x14ac:dyDescent="0.35">
      <c r="A1" s="457" t="s">
        <v>1401</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3" x14ac:dyDescent="0.25">
      <c r="A17" s="84" t="s">
        <v>10</v>
      </c>
      <c r="B17" s="84" t="s">
        <v>11</v>
      </c>
    </row>
    <row r="19" spans="1:3" x14ac:dyDescent="0.25">
      <c r="C19" s="1" t="s">
        <v>3</v>
      </c>
    </row>
    <row r="20" spans="1:3" x14ac:dyDescent="0.25">
      <c r="C20" s="1" t="s">
        <v>1402</v>
      </c>
    </row>
    <row r="21" spans="1:3" x14ac:dyDescent="0.25">
      <c r="C21" s="1" t="s">
        <v>8</v>
      </c>
    </row>
    <row r="22" spans="1:3" x14ac:dyDescent="0.25">
      <c r="C22" s="1" t="s">
        <v>943</v>
      </c>
    </row>
    <row r="27" spans="1:3" x14ac:dyDescent="0.25">
      <c r="A27" s="84" t="s">
        <v>12</v>
      </c>
      <c r="B27" s="84" t="s">
        <v>13</v>
      </c>
    </row>
    <row r="29" spans="1:3" x14ac:dyDescent="0.25">
      <c r="C29" s="1" t="s">
        <v>3</v>
      </c>
    </row>
    <row r="30" spans="1:3" x14ac:dyDescent="0.25">
      <c r="C30" s="1" t="s">
        <v>1402</v>
      </c>
    </row>
    <row r="31" spans="1:3" x14ac:dyDescent="0.25">
      <c r="C31" s="1" t="s">
        <v>8</v>
      </c>
    </row>
    <row r="32" spans="1:3" x14ac:dyDescent="0.25">
      <c r="C32" s="1" t="s">
        <v>943</v>
      </c>
    </row>
    <row r="37" spans="1:3" x14ac:dyDescent="0.25">
      <c r="A37" s="84" t="s">
        <v>15</v>
      </c>
      <c r="B37" s="84" t="s">
        <v>16</v>
      </c>
    </row>
    <row r="39" spans="1:3" x14ac:dyDescent="0.25">
      <c r="C39" t="s">
        <v>944</v>
      </c>
    </row>
    <row r="40" spans="1:3" x14ac:dyDescent="0.25">
      <c r="C40" t="s">
        <v>1403</v>
      </c>
    </row>
    <row r="41" spans="1:3" x14ac:dyDescent="0.25">
      <c r="C41" t="s">
        <v>945</v>
      </c>
    </row>
    <row r="42" spans="1:3" x14ac:dyDescent="0.25">
      <c r="C42" t="s">
        <v>946</v>
      </c>
    </row>
    <row r="47" spans="1:3" x14ac:dyDescent="0.25">
      <c r="A47" s="84" t="s">
        <v>17</v>
      </c>
      <c r="B47" s="84" t="s">
        <v>18</v>
      </c>
    </row>
    <row r="49" spans="1:13" x14ac:dyDescent="0.25">
      <c r="B49" s="86"/>
      <c r="C49" t="s">
        <v>947</v>
      </c>
      <c r="D49" s="86"/>
      <c r="E49" s="86"/>
      <c r="F49" s="86"/>
      <c r="G49" s="86"/>
      <c r="H49" s="86"/>
      <c r="I49" s="86"/>
      <c r="J49" s="86"/>
      <c r="K49" s="86"/>
      <c r="L49" s="86"/>
      <c r="M49" s="86"/>
    </row>
    <row r="50" spans="1:13" x14ac:dyDescent="0.25">
      <c r="B50" s="86"/>
      <c r="C50" s="76" t="s">
        <v>1404</v>
      </c>
      <c r="D50" s="86"/>
      <c r="E50" s="86"/>
      <c r="F50" s="86"/>
      <c r="G50" s="86"/>
      <c r="H50" s="86"/>
      <c r="I50" s="86"/>
      <c r="J50" s="86"/>
      <c r="K50" s="86"/>
      <c r="L50" s="86"/>
      <c r="M50" s="86"/>
    </row>
    <row r="51" spans="1:13" x14ac:dyDescent="0.25">
      <c r="B51" s="86"/>
      <c r="C51" s="76" t="s">
        <v>945</v>
      </c>
      <c r="D51" s="86"/>
      <c r="E51" s="86"/>
      <c r="F51" s="86"/>
      <c r="G51" s="86"/>
      <c r="H51" s="86"/>
      <c r="I51" s="86"/>
      <c r="J51" s="86"/>
      <c r="K51" s="86"/>
      <c r="L51" s="86"/>
      <c r="M51" s="86"/>
    </row>
    <row r="52" spans="1:13" x14ac:dyDescent="0.25">
      <c r="C52" s="76" t="s">
        <v>948</v>
      </c>
    </row>
    <row r="57" spans="1:13" x14ac:dyDescent="0.25">
      <c r="A57" s="84" t="s">
        <v>20</v>
      </c>
      <c r="B57" s="84" t="s">
        <v>21</v>
      </c>
    </row>
    <row r="59" spans="1:13" x14ac:dyDescent="0.25">
      <c r="C59" t="s">
        <v>947</v>
      </c>
    </row>
    <row r="60" spans="1:13" x14ac:dyDescent="0.25">
      <c r="C60" t="s">
        <v>949</v>
      </c>
    </row>
    <row r="61" spans="1:13" x14ac:dyDescent="0.25">
      <c r="C61" t="s">
        <v>950</v>
      </c>
    </row>
    <row r="63" spans="1:13" x14ac:dyDescent="0.25">
      <c r="C63" t="s">
        <v>944</v>
      </c>
    </row>
    <row r="64" spans="1:13" x14ac:dyDescent="0.25">
      <c r="C64" t="s">
        <v>951</v>
      </c>
    </row>
    <row r="65" spans="1:13" x14ac:dyDescent="0.25">
      <c r="B65" s="86"/>
      <c r="C65" t="s">
        <v>952</v>
      </c>
      <c r="D65" s="86"/>
      <c r="E65" s="86"/>
      <c r="F65" s="86"/>
      <c r="G65" s="86"/>
      <c r="H65" s="86"/>
      <c r="I65" s="86"/>
      <c r="J65" s="86"/>
      <c r="K65" s="86"/>
      <c r="L65" s="86"/>
      <c r="M65" s="86"/>
    </row>
    <row r="66" spans="1:13" x14ac:dyDescent="0.25">
      <c r="B66" s="86"/>
      <c r="C66" s="76" t="s">
        <v>953</v>
      </c>
      <c r="D66" s="86"/>
      <c r="E66" s="86"/>
      <c r="F66" s="86"/>
      <c r="G66" s="86"/>
      <c r="H66" s="86"/>
      <c r="I66" s="86"/>
      <c r="J66" s="86"/>
      <c r="K66" s="86"/>
      <c r="L66" s="86"/>
      <c r="M66" s="86"/>
    </row>
    <row r="67" spans="1:13" x14ac:dyDescent="0.25">
      <c r="A67" s="84" t="s">
        <v>22</v>
      </c>
      <c r="B67" s="84" t="s">
        <v>23</v>
      </c>
    </row>
    <row r="68" spans="1:13" ht="40.5" customHeight="1" x14ac:dyDescent="0.25">
      <c r="B68" s="459" t="s">
        <v>24</v>
      </c>
      <c r="C68" s="459"/>
      <c r="D68" s="459"/>
      <c r="E68" s="459"/>
      <c r="F68" s="459"/>
      <c r="G68" s="459"/>
      <c r="H68" s="459"/>
      <c r="I68" s="459"/>
      <c r="J68" s="459"/>
      <c r="K68" s="459"/>
      <c r="L68" s="86"/>
      <c r="M68" s="86"/>
    </row>
    <row r="69" spans="1:13" x14ac:dyDescent="0.25">
      <c r="B69" s="88"/>
      <c r="C69" s="88"/>
      <c r="D69" s="88"/>
      <c r="E69" s="88"/>
      <c r="F69" s="88"/>
      <c r="G69" s="88"/>
      <c r="H69" s="88"/>
      <c r="I69" s="88"/>
      <c r="J69" s="88"/>
      <c r="K69" s="88"/>
      <c r="L69" s="86"/>
      <c r="M69" s="86"/>
    </row>
    <row r="70" spans="1:13" x14ac:dyDescent="0.25">
      <c r="B70" s="88"/>
      <c r="C70" s="76" t="s">
        <v>954</v>
      </c>
      <c r="D70" s="88"/>
      <c r="E70" s="88"/>
      <c r="F70" s="88"/>
      <c r="G70" s="88"/>
      <c r="H70" s="88"/>
      <c r="I70" s="88"/>
      <c r="J70" s="88"/>
      <c r="K70" s="88"/>
      <c r="L70" s="86"/>
      <c r="M70" s="86"/>
    </row>
    <row r="71" spans="1:13" x14ac:dyDescent="0.25">
      <c r="C71" s="76" t="s">
        <v>955</v>
      </c>
    </row>
    <row r="72" spans="1:13" x14ac:dyDescent="0.25">
      <c r="C72" s="76" t="s">
        <v>945</v>
      </c>
    </row>
    <row r="73" spans="1:13" x14ac:dyDescent="0.25">
      <c r="C73" s="76" t="s">
        <v>956</v>
      </c>
    </row>
    <row r="78" spans="1:13" x14ac:dyDescent="0.25">
      <c r="B78" s="86"/>
      <c r="C78" s="86"/>
      <c r="D78" s="86"/>
      <c r="E78" s="86"/>
      <c r="F78" s="86"/>
      <c r="G78" s="86"/>
      <c r="H78" s="86"/>
      <c r="I78" s="86"/>
      <c r="J78" s="86"/>
      <c r="K78" s="86"/>
      <c r="L78" s="86"/>
      <c r="M78" s="86"/>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sheetData>
  <mergeCells count="3">
    <mergeCell ref="A1:I1"/>
    <mergeCell ref="A3:K6"/>
    <mergeCell ref="B68:K68"/>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3BC6-380D-47F2-B39E-076CF1033A66}">
  <dimension ref="A1:M80"/>
  <sheetViews>
    <sheetView workbookViewId="0">
      <selection sqref="A1:XFD1048576"/>
    </sheetView>
  </sheetViews>
  <sheetFormatPr defaultRowHeight="15" x14ac:dyDescent="0.25"/>
  <cols>
    <col min="1" max="2" width="9.140625" style="84"/>
    <col min="3" max="3" width="15.7109375" style="84" customWidth="1"/>
    <col min="4" max="4" width="10.140625" style="84" bestFit="1" customWidth="1"/>
    <col min="5" max="16384" width="9.140625" style="84"/>
  </cols>
  <sheetData>
    <row r="1" spans="1:13" ht="21" x14ac:dyDescent="0.35">
      <c r="A1" s="457" t="s">
        <v>1405</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4" x14ac:dyDescent="0.25">
      <c r="A17" s="84" t="s">
        <v>10</v>
      </c>
      <c r="B17" s="84" t="s">
        <v>11</v>
      </c>
    </row>
    <row r="19" spans="1:4" x14ac:dyDescent="0.25">
      <c r="C19" s="84" t="s">
        <v>179</v>
      </c>
      <c r="D19" s="318">
        <v>172.27</v>
      </c>
    </row>
    <row r="20" spans="1:4" x14ac:dyDescent="0.25">
      <c r="C20" s="84" t="s">
        <v>156</v>
      </c>
      <c r="D20" s="84">
        <v>1.6950000000000001</v>
      </c>
    </row>
    <row r="21" spans="1:4" x14ac:dyDescent="0.25">
      <c r="C21" s="84" t="s">
        <v>175</v>
      </c>
      <c r="D21" s="318">
        <f>D19*D20%</f>
        <v>2.9199765000000002</v>
      </c>
    </row>
    <row r="27" spans="1:4" x14ac:dyDescent="0.25">
      <c r="A27" s="84" t="s">
        <v>12</v>
      </c>
      <c r="B27" s="84" t="s">
        <v>13</v>
      </c>
    </row>
    <row r="29" spans="1:4" x14ac:dyDescent="0.25">
      <c r="C29" s="84" t="s">
        <v>179</v>
      </c>
      <c r="D29" s="318">
        <v>172.27</v>
      </c>
    </row>
    <row r="30" spans="1:4" x14ac:dyDescent="0.25">
      <c r="C30" s="84" t="s">
        <v>156</v>
      </c>
      <c r="D30" s="84">
        <v>1.6950000000000001</v>
      </c>
    </row>
    <row r="31" spans="1:4" x14ac:dyDescent="0.25">
      <c r="C31" s="84" t="s">
        <v>175</v>
      </c>
      <c r="D31" s="318">
        <f>D29*D30%</f>
        <v>2.9199765000000002</v>
      </c>
    </row>
    <row r="37" spans="1:4" x14ac:dyDescent="0.25">
      <c r="A37" s="84" t="s">
        <v>15</v>
      </c>
      <c r="B37" s="84" t="s">
        <v>16</v>
      </c>
    </row>
    <row r="39" spans="1:4" x14ac:dyDescent="0.25">
      <c r="C39" s="84" t="s">
        <v>179</v>
      </c>
      <c r="D39" s="318">
        <v>0</v>
      </c>
    </row>
    <row r="40" spans="1:4" x14ac:dyDescent="0.25">
      <c r="C40" s="84" t="s">
        <v>156</v>
      </c>
      <c r="D40" s="84">
        <v>1.6950000000000001</v>
      </c>
    </row>
    <row r="41" spans="1:4" x14ac:dyDescent="0.25">
      <c r="C41" s="84" t="s">
        <v>175</v>
      </c>
      <c r="D41" s="318">
        <f>D39*D40</f>
        <v>0</v>
      </c>
    </row>
    <row r="47" spans="1:4" x14ac:dyDescent="0.25">
      <c r="A47" s="84" t="s">
        <v>17</v>
      </c>
      <c r="B47" s="84" t="s">
        <v>18</v>
      </c>
    </row>
    <row r="49" spans="1:13" x14ac:dyDescent="0.25">
      <c r="B49" s="86"/>
      <c r="C49" s="84" t="s">
        <v>179</v>
      </c>
      <c r="D49" s="319">
        <v>129.19999999999999</v>
      </c>
      <c r="E49" s="86"/>
      <c r="F49" s="86"/>
      <c r="G49" s="86"/>
      <c r="H49" s="86"/>
      <c r="I49" s="86"/>
      <c r="J49" s="86"/>
      <c r="K49" s="86"/>
      <c r="L49" s="86"/>
      <c r="M49" s="86"/>
    </row>
    <row r="50" spans="1:13" x14ac:dyDescent="0.25">
      <c r="B50" s="86"/>
      <c r="C50" s="84" t="s">
        <v>156</v>
      </c>
      <c r="D50" s="84">
        <v>1.6950000000000001</v>
      </c>
      <c r="F50" s="86"/>
      <c r="G50" s="86"/>
      <c r="H50" s="86"/>
      <c r="I50" s="86"/>
      <c r="J50" s="86"/>
      <c r="K50" s="86"/>
      <c r="L50" s="86"/>
      <c r="M50" s="86"/>
    </row>
    <row r="51" spans="1:13" x14ac:dyDescent="0.25">
      <c r="B51" s="86"/>
      <c r="C51" s="84" t="s">
        <v>175</v>
      </c>
      <c r="D51" s="319">
        <f>D49*D50%</f>
        <v>2.18994</v>
      </c>
      <c r="E51" s="86"/>
      <c r="F51" s="86"/>
      <c r="G51" s="86"/>
      <c r="H51" s="86"/>
      <c r="I51" s="86"/>
      <c r="J51" s="86"/>
      <c r="K51" s="86"/>
      <c r="L51" s="86"/>
      <c r="M51" s="86"/>
    </row>
    <row r="57" spans="1:13" x14ac:dyDescent="0.25">
      <c r="A57" s="84" t="s">
        <v>20</v>
      </c>
      <c r="B57" s="84" t="s">
        <v>21</v>
      </c>
    </row>
    <row r="59" spans="1:13" x14ac:dyDescent="0.25">
      <c r="C59" s="84" t="s">
        <v>179</v>
      </c>
      <c r="D59" s="318">
        <v>0</v>
      </c>
    </row>
    <row r="60" spans="1:13" x14ac:dyDescent="0.25">
      <c r="C60" s="84" t="s">
        <v>156</v>
      </c>
      <c r="D60" s="84">
        <v>1.6950000000000001</v>
      </c>
    </row>
    <row r="61" spans="1:13" x14ac:dyDescent="0.25">
      <c r="C61" s="84" t="s">
        <v>175</v>
      </c>
      <c r="D61" s="318">
        <f>D59*D60</f>
        <v>0</v>
      </c>
    </row>
    <row r="65" spans="1:13" x14ac:dyDescent="0.25">
      <c r="B65" s="86"/>
      <c r="C65" s="86"/>
      <c r="D65" s="86"/>
      <c r="E65" s="86"/>
      <c r="F65" s="86"/>
      <c r="G65" s="86"/>
      <c r="H65" s="86"/>
      <c r="I65" s="86"/>
      <c r="J65" s="86"/>
      <c r="K65" s="86"/>
      <c r="L65" s="86"/>
      <c r="M65" s="86"/>
    </row>
    <row r="66" spans="1:13" x14ac:dyDescent="0.25">
      <c r="B66" s="86"/>
      <c r="C66" s="86"/>
      <c r="D66" s="86"/>
      <c r="E66" s="86"/>
      <c r="F66" s="86"/>
      <c r="G66" s="86"/>
      <c r="H66" s="86"/>
      <c r="I66" s="86"/>
      <c r="J66" s="86"/>
      <c r="K66" s="86"/>
      <c r="L66" s="86"/>
      <c r="M66" s="86"/>
    </row>
    <row r="67" spans="1:13" x14ac:dyDescent="0.25">
      <c r="A67" s="84" t="s">
        <v>22</v>
      </c>
      <c r="B67" s="84" t="s">
        <v>23</v>
      </c>
    </row>
    <row r="68" spans="1:13" ht="40.5" customHeight="1" x14ac:dyDescent="0.25">
      <c r="B68" s="459" t="s">
        <v>24</v>
      </c>
      <c r="C68" s="459"/>
      <c r="D68" s="459"/>
      <c r="E68" s="459"/>
      <c r="F68" s="459"/>
      <c r="G68" s="459"/>
      <c r="H68" s="459"/>
      <c r="I68" s="459"/>
      <c r="J68" s="459"/>
      <c r="K68" s="459"/>
      <c r="L68" s="86"/>
      <c r="M68" s="86"/>
    </row>
    <row r="69" spans="1:13" x14ac:dyDescent="0.25">
      <c r="B69" s="88"/>
      <c r="C69" s="88"/>
      <c r="D69" s="88"/>
      <c r="E69" s="88"/>
      <c r="F69" s="88"/>
      <c r="G69" s="88"/>
      <c r="H69" s="88"/>
      <c r="I69" s="88"/>
      <c r="J69" s="88"/>
      <c r="K69" s="88"/>
      <c r="L69" s="86"/>
      <c r="M69" s="86"/>
    </row>
    <row r="70" spans="1:13" x14ac:dyDescent="0.25">
      <c r="B70" s="88"/>
      <c r="C70" s="84" t="s">
        <v>179</v>
      </c>
      <c r="D70" s="320">
        <v>117.99</v>
      </c>
      <c r="E70" s="88"/>
      <c r="F70" s="88"/>
      <c r="G70" s="88"/>
      <c r="H70" s="88"/>
      <c r="I70" s="88"/>
      <c r="J70" s="88"/>
      <c r="K70" s="88"/>
      <c r="L70" s="86"/>
      <c r="M70" s="86"/>
    </row>
    <row r="71" spans="1:13" x14ac:dyDescent="0.25">
      <c r="C71" s="84" t="s">
        <v>156</v>
      </c>
      <c r="D71" s="84">
        <v>1.6950000000000001</v>
      </c>
    </row>
    <row r="72" spans="1:13" x14ac:dyDescent="0.25">
      <c r="C72" s="84" t="s">
        <v>175</v>
      </c>
      <c r="D72" s="318">
        <f>D70*D71%</f>
        <v>1.9999304999999998</v>
      </c>
    </row>
    <row r="78" spans="1:13" x14ac:dyDescent="0.25">
      <c r="B78" s="86"/>
      <c r="C78" s="86"/>
      <c r="D78" s="86"/>
      <c r="E78" s="86"/>
      <c r="F78" s="86"/>
      <c r="G78" s="86"/>
      <c r="H78" s="86"/>
      <c r="I78" s="86"/>
      <c r="J78" s="86"/>
      <c r="K78" s="86"/>
      <c r="L78" s="86"/>
      <c r="M78" s="86"/>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sheetData>
  <mergeCells count="3">
    <mergeCell ref="A1:I1"/>
    <mergeCell ref="A3:K6"/>
    <mergeCell ref="B68:K68"/>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BE7FD-6D04-467C-AECF-8AF905E1B48A}">
  <dimension ref="A1:M81"/>
  <sheetViews>
    <sheetView workbookViewId="0">
      <selection sqref="A1:XFD1048576"/>
    </sheetView>
  </sheetViews>
  <sheetFormatPr defaultRowHeight="15" x14ac:dyDescent="0.25"/>
  <sheetData>
    <row r="1" spans="1:13" ht="20.25" x14ac:dyDescent="0.3">
      <c r="A1" s="472" t="s">
        <v>1406</v>
      </c>
      <c r="B1" s="472"/>
      <c r="C1" s="472"/>
      <c r="D1" s="472"/>
      <c r="E1" s="472"/>
      <c r="F1" s="472"/>
      <c r="G1" s="472"/>
      <c r="H1" s="472"/>
      <c r="I1" s="472"/>
    </row>
    <row r="2" spans="1:13" ht="15" customHeight="1" x14ac:dyDescent="0.25">
      <c r="A2" s="463" t="s">
        <v>1037</v>
      </c>
      <c r="B2" s="463"/>
      <c r="C2" s="463"/>
      <c r="D2" s="463"/>
      <c r="E2" s="463"/>
      <c r="F2" s="463"/>
      <c r="G2" s="463"/>
      <c r="H2" s="463"/>
      <c r="I2" s="463"/>
      <c r="J2" s="463"/>
      <c r="K2" s="463"/>
      <c r="L2" s="3"/>
      <c r="M2" s="3"/>
    </row>
    <row r="3" spans="1:13" x14ac:dyDescent="0.25">
      <c r="A3" s="463"/>
      <c r="B3" s="463"/>
      <c r="C3" s="463"/>
      <c r="D3" s="463"/>
      <c r="E3" s="463"/>
      <c r="F3" s="463"/>
      <c r="G3" s="463"/>
      <c r="H3" s="463"/>
      <c r="I3" s="463"/>
      <c r="J3" s="463"/>
      <c r="K3" s="463"/>
      <c r="L3" s="3"/>
      <c r="M3" s="3"/>
    </row>
    <row r="4" spans="1:13" x14ac:dyDescent="0.25">
      <c r="A4" s="463"/>
      <c r="B4" s="463"/>
      <c r="C4" s="463"/>
      <c r="D4" s="463"/>
      <c r="E4" s="463"/>
      <c r="F4" s="463"/>
      <c r="G4" s="463"/>
      <c r="H4" s="463"/>
      <c r="I4" s="463"/>
      <c r="J4" s="463"/>
      <c r="K4" s="463"/>
      <c r="L4" s="3"/>
      <c r="M4" s="3"/>
    </row>
    <row r="5" spans="1:13" x14ac:dyDescent="0.25">
      <c r="A5" s="463"/>
      <c r="B5" s="463"/>
      <c r="C5" s="463"/>
      <c r="D5" s="463"/>
      <c r="E5" s="463"/>
      <c r="F5" s="463"/>
      <c r="G5" s="463"/>
      <c r="H5" s="463"/>
      <c r="I5" s="463"/>
      <c r="J5" s="463"/>
      <c r="K5" s="463"/>
      <c r="L5" s="3"/>
      <c r="M5" s="3"/>
    </row>
    <row r="8" spans="1:13" x14ac:dyDescent="0.25">
      <c r="B8" s="1" t="s">
        <v>2</v>
      </c>
      <c r="C8" s="1" t="s">
        <v>3</v>
      </c>
      <c r="D8" s="1"/>
      <c r="E8" s="1"/>
      <c r="F8" s="1"/>
      <c r="G8" s="1"/>
      <c r="H8" s="1"/>
    </row>
    <row r="9" spans="1:13" x14ac:dyDescent="0.25">
      <c r="B9" s="1"/>
      <c r="C9" s="1" t="s">
        <v>4</v>
      </c>
      <c r="D9" s="1"/>
      <c r="E9" s="1"/>
      <c r="F9" s="1"/>
      <c r="G9" s="1"/>
      <c r="H9" s="1"/>
    </row>
    <row r="10" spans="1:13" x14ac:dyDescent="0.25">
      <c r="B10" s="1" t="s">
        <v>5</v>
      </c>
      <c r="C10" s="1" t="s">
        <v>6</v>
      </c>
      <c r="D10" s="1"/>
      <c r="E10" s="1"/>
      <c r="F10" s="1"/>
      <c r="G10" s="1"/>
      <c r="H10" s="1"/>
    </row>
    <row r="11" spans="1:13" x14ac:dyDescent="0.25">
      <c r="B11" s="1"/>
      <c r="C11" s="1" t="s">
        <v>7</v>
      </c>
      <c r="D11" s="1"/>
      <c r="E11" s="1"/>
      <c r="F11" s="1"/>
      <c r="G11" s="1"/>
      <c r="H11" s="1"/>
    </row>
    <row r="12" spans="1:13" x14ac:dyDescent="0.25">
      <c r="B12" s="1"/>
      <c r="C12" s="1" t="s">
        <v>8</v>
      </c>
      <c r="D12" s="1"/>
      <c r="E12" s="1"/>
      <c r="F12" s="1"/>
      <c r="G12" s="1"/>
      <c r="H12" s="1"/>
    </row>
    <row r="13" spans="1:13" x14ac:dyDescent="0.25">
      <c r="B13" s="1"/>
      <c r="C13" s="1" t="s">
        <v>9</v>
      </c>
      <c r="D13" s="1"/>
      <c r="E13" s="1"/>
      <c r="F13" s="1"/>
      <c r="G13" s="1"/>
      <c r="H13" s="1"/>
    </row>
    <row r="16" spans="1:13" x14ac:dyDescent="0.25">
      <c r="A16" t="s">
        <v>10</v>
      </c>
      <c r="B16" t="s">
        <v>11</v>
      </c>
    </row>
    <row r="18" spans="1:3" x14ac:dyDescent="0.25">
      <c r="C18" t="s">
        <v>1038</v>
      </c>
    </row>
    <row r="19" spans="1:3" x14ac:dyDescent="0.25">
      <c r="C19" t="s">
        <v>1039</v>
      </c>
    </row>
    <row r="20" spans="1:3" x14ac:dyDescent="0.25">
      <c r="C20" t="s">
        <v>1040</v>
      </c>
    </row>
    <row r="21" spans="1:3" x14ac:dyDescent="0.25">
      <c r="C21" t="s">
        <v>1041</v>
      </c>
    </row>
    <row r="26" spans="1:3" x14ac:dyDescent="0.25">
      <c r="A26" t="s">
        <v>12</v>
      </c>
      <c r="B26" t="s">
        <v>13</v>
      </c>
    </row>
    <row r="28" spans="1:3" x14ac:dyDescent="0.25">
      <c r="C28" t="s">
        <v>1038</v>
      </c>
    </row>
    <row r="29" spans="1:3" x14ac:dyDescent="0.25">
      <c r="C29" t="s">
        <v>1039</v>
      </c>
    </row>
    <row r="30" spans="1:3" x14ac:dyDescent="0.25">
      <c r="C30" t="s">
        <v>1040</v>
      </c>
    </row>
    <row r="31" spans="1:3" x14ac:dyDescent="0.25">
      <c r="C31" t="s">
        <v>1041</v>
      </c>
    </row>
    <row r="34" spans="1:3" x14ac:dyDescent="0.25">
      <c r="A34" t="s">
        <v>15</v>
      </c>
      <c r="B34" t="s">
        <v>16</v>
      </c>
    </row>
    <row r="35" spans="1:3" x14ac:dyDescent="0.25">
      <c r="C35" s="75" t="s">
        <v>1042</v>
      </c>
    </row>
    <row r="36" spans="1:3" x14ac:dyDescent="0.25">
      <c r="C36" t="s">
        <v>1043</v>
      </c>
    </row>
    <row r="37" spans="1:3" x14ac:dyDescent="0.25">
      <c r="C37" t="s">
        <v>1044</v>
      </c>
    </row>
    <row r="38" spans="1:3" x14ac:dyDescent="0.25">
      <c r="C38" t="s">
        <v>1045</v>
      </c>
    </row>
    <row r="40" spans="1:3" x14ac:dyDescent="0.25">
      <c r="C40" s="75" t="s">
        <v>1046</v>
      </c>
    </row>
    <row r="41" spans="1:3" x14ac:dyDescent="0.25">
      <c r="C41" t="s">
        <v>1043</v>
      </c>
    </row>
    <row r="42" spans="1:3" x14ac:dyDescent="0.25">
      <c r="C42" t="s">
        <v>1044</v>
      </c>
    </row>
    <row r="43" spans="1:3" x14ac:dyDescent="0.25">
      <c r="C43" t="s">
        <v>1047</v>
      </c>
    </row>
    <row r="44" spans="1:3" x14ac:dyDescent="0.25">
      <c r="C44" t="s">
        <v>1048</v>
      </c>
    </row>
    <row r="45" spans="1:3" x14ac:dyDescent="0.25">
      <c r="C45" t="s">
        <v>1049</v>
      </c>
    </row>
    <row r="47" spans="1:3" x14ac:dyDescent="0.25">
      <c r="A47" t="s">
        <v>17</v>
      </c>
      <c r="B47" t="s">
        <v>18</v>
      </c>
    </row>
    <row r="49" spans="1:13" x14ac:dyDescent="0.25">
      <c r="B49" s="1"/>
      <c r="C49" s="76" t="s">
        <v>1050</v>
      </c>
      <c r="E49" s="1"/>
      <c r="F49" s="1"/>
      <c r="G49" s="1"/>
      <c r="H49" s="1"/>
      <c r="I49" s="1"/>
      <c r="J49" s="1"/>
      <c r="K49" s="1"/>
      <c r="L49" s="1"/>
      <c r="M49" s="1"/>
    </row>
    <row r="50" spans="1:13" x14ac:dyDescent="0.25">
      <c r="B50" s="1"/>
      <c r="C50" s="76" t="s">
        <v>1051</v>
      </c>
      <c r="D50" s="1"/>
      <c r="E50" s="1"/>
      <c r="F50" s="1"/>
      <c r="G50" s="1"/>
      <c r="H50" s="1"/>
      <c r="I50" s="1"/>
      <c r="J50" s="1"/>
      <c r="K50" s="1"/>
      <c r="L50" s="1"/>
      <c r="M50" s="1"/>
    </row>
    <row r="51" spans="1:13" x14ac:dyDescent="0.25">
      <c r="B51" s="1"/>
      <c r="C51" t="s">
        <v>1052</v>
      </c>
      <c r="H51" s="1"/>
      <c r="I51" s="1"/>
      <c r="J51" s="1"/>
      <c r="K51" s="1"/>
      <c r="L51" s="1"/>
      <c r="M51" s="1"/>
    </row>
    <row r="52" spans="1:13" x14ac:dyDescent="0.25">
      <c r="C52" t="s">
        <v>1053</v>
      </c>
    </row>
    <row r="56" spans="1:13" x14ac:dyDescent="0.25">
      <c r="A56" t="s">
        <v>20</v>
      </c>
      <c r="B56" t="s">
        <v>21</v>
      </c>
    </row>
    <row r="58" spans="1:13" x14ac:dyDescent="0.25">
      <c r="C58" t="s">
        <v>1054</v>
      </c>
    </row>
    <row r="59" spans="1:13" x14ac:dyDescent="0.25">
      <c r="C59" t="s">
        <v>1055</v>
      </c>
    </row>
    <row r="60" spans="1:13" x14ac:dyDescent="0.25">
      <c r="C60" t="s">
        <v>1056</v>
      </c>
      <c r="G60" s="68">
        <v>10.24</v>
      </c>
    </row>
    <row r="61" spans="1:13" x14ac:dyDescent="0.25">
      <c r="C61" t="s">
        <v>1057</v>
      </c>
    </row>
    <row r="62" spans="1:13" x14ac:dyDescent="0.25">
      <c r="C62" t="s">
        <v>1058</v>
      </c>
    </row>
    <row r="63" spans="1:13" x14ac:dyDescent="0.25">
      <c r="C63" t="s">
        <v>1059</v>
      </c>
    </row>
    <row r="64" spans="1:13" x14ac:dyDescent="0.25">
      <c r="B64" s="1"/>
      <c r="C64" s="76" t="s">
        <v>1060</v>
      </c>
      <c r="D64" s="1"/>
      <c r="E64" s="1"/>
      <c r="F64" s="1"/>
      <c r="G64" s="1"/>
      <c r="H64" s="1"/>
      <c r="I64" s="1"/>
    </row>
    <row r="65" spans="1:13" x14ac:dyDescent="0.25">
      <c r="B65" s="1"/>
      <c r="C65" s="76" t="s">
        <v>1061</v>
      </c>
      <c r="E65" s="1"/>
      <c r="F65" s="1"/>
      <c r="G65" s="1"/>
      <c r="H65" s="1"/>
      <c r="I65" s="1"/>
      <c r="J65" s="1"/>
      <c r="K65" s="1"/>
      <c r="L65" s="1"/>
      <c r="M65" s="1"/>
    </row>
    <row r="66" spans="1:13" x14ac:dyDescent="0.25">
      <c r="B66" s="1"/>
      <c r="C66" s="1"/>
      <c r="D66" s="1"/>
      <c r="E66" s="1"/>
      <c r="F66" s="1"/>
      <c r="G66" s="1"/>
      <c r="H66" s="1"/>
      <c r="I66" s="1"/>
      <c r="J66" s="1"/>
      <c r="K66" s="1"/>
      <c r="L66" s="1"/>
      <c r="M66" s="1"/>
    </row>
    <row r="67" spans="1:13" x14ac:dyDescent="0.25">
      <c r="A67" t="s">
        <v>22</v>
      </c>
      <c r="B67" t="s">
        <v>23</v>
      </c>
    </row>
    <row r="68" spans="1:13" ht="40.5" customHeight="1" x14ac:dyDescent="0.25">
      <c r="B68" s="473" t="s">
        <v>24</v>
      </c>
      <c r="C68" s="473"/>
      <c r="D68" s="473"/>
      <c r="E68" s="473"/>
      <c r="F68" s="473"/>
      <c r="G68" s="473"/>
      <c r="H68" s="473"/>
      <c r="I68" s="473"/>
      <c r="J68" s="473"/>
      <c r="K68" s="473"/>
      <c r="L68" s="1"/>
      <c r="M68" s="1"/>
    </row>
    <row r="69" spans="1:13" x14ac:dyDescent="0.25">
      <c r="B69" s="2"/>
      <c r="C69" s="2"/>
      <c r="D69" s="2"/>
      <c r="E69" s="2"/>
      <c r="F69" s="2"/>
      <c r="G69" s="2"/>
      <c r="H69" s="2"/>
      <c r="I69" s="2"/>
      <c r="J69" s="2"/>
      <c r="K69" s="2"/>
      <c r="L69" s="1"/>
      <c r="M69" s="1"/>
    </row>
    <row r="70" spans="1:13" x14ac:dyDescent="0.25">
      <c r="B70" s="76" t="s">
        <v>1062</v>
      </c>
      <c r="C70" s="2"/>
      <c r="D70" s="2"/>
      <c r="E70" s="2"/>
      <c r="F70" s="2"/>
      <c r="G70" s="2"/>
      <c r="H70" s="2"/>
      <c r="I70" s="2"/>
      <c r="J70" s="2"/>
      <c r="K70" s="2"/>
      <c r="L70" s="1"/>
      <c r="M70" s="1"/>
    </row>
    <row r="71" spans="1:13" x14ac:dyDescent="0.25">
      <c r="B71" s="76" t="s">
        <v>1063</v>
      </c>
      <c r="C71" s="2"/>
      <c r="D71" s="2"/>
      <c r="E71" s="2"/>
      <c r="F71" s="2"/>
      <c r="G71" s="2"/>
      <c r="H71" s="2"/>
      <c r="I71" s="2"/>
      <c r="J71" s="2"/>
      <c r="K71" s="2"/>
      <c r="L71" s="1"/>
      <c r="M71" s="1"/>
    </row>
    <row r="72" spans="1:13" x14ac:dyDescent="0.25">
      <c r="B72" t="s">
        <v>1407</v>
      </c>
    </row>
    <row r="73" spans="1:13" x14ac:dyDescent="0.25">
      <c r="B73" t="s">
        <v>1408</v>
      </c>
    </row>
    <row r="74" spans="1:13" x14ac:dyDescent="0.25">
      <c r="B74" t="s">
        <v>1409</v>
      </c>
    </row>
    <row r="79" spans="1:13" x14ac:dyDescent="0.25">
      <c r="B79" s="1"/>
      <c r="C79" s="1"/>
      <c r="D79" s="1"/>
      <c r="E79" s="1"/>
      <c r="F79" s="1"/>
      <c r="G79" s="1"/>
      <c r="H79" s="1"/>
      <c r="I79" s="1"/>
      <c r="J79" s="1"/>
      <c r="K79" s="1"/>
      <c r="L79" s="1"/>
      <c r="M79" s="1"/>
    </row>
    <row r="80" spans="1:13" x14ac:dyDescent="0.25">
      <c r="B80" s="1"/>
      <c r="C80" s="1"/>
      <c r="D80" s="1"/>
      <c r="E80" s="1"/>
      <c r="F80" s="1"/>
      <c r="G80" s="1"/>
      <c r="H80" s="1"/>
      <c r="I80" s="1"/>
      <c r="J80" s="1"/>
      <c r="K80" s="1"/>
      <c r="L80" s="1"/>
      <c r="M80" s="1"/>
    </row>
    <row r="81" spans="2:13" x14ac:dyDescent="0.25">
      <c r="B81" s="1"/>
      <c r="C81" s="1"/>
      <c r="D81" s="1"/>
      <c r="E81" s="1"/>
      <c r="F81" s="1"/>
      <c r="G81" s="1"/>
      <c r="H81" s="1"/>
      <c r="I81" s="1"/>
      <c r="J81" s="1"/>
      <c r="K81" s="1"/>
      <c r="L81" s="1"/>
      <c r="M81" s="1"/>
    </row>
  </sheetData>
  <mergeCells count="3">
    <mergeCell ref="A1:I1"/>
    <mergeCell ref="A2:K5"/>
    <mergeCell ref="B68:K68"/>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F5A1F-CB8E-4EC4-B6BD-3B5BF330C0BB}">
  <dimension ref="A1:N75"/>
  <sheetViews>
    <sheetView workbookViewId="0">
      <selection sqref="A1:XFD1048576"/>
    </sheetView>
  </sheetViews>
  <sheetFormatPr defaultRowHeight="15" x14ac:dyDescent="0.25"/>
  <cols>
    <col min="6" max="6" width="10.42578125" customWidth="1"/>
    <col min="9" max="9" width="10.42578125" bestFit="1" customWidth="1"/>
  </cols>
  <sheetData>
    <row r="1" spans="1:13" ht="20.25" x14ac:dyDescent="0.3">
      <c r="A1" s="507" t="s">
        <v>1410</v>
      </c>
      <c r="B1" s="508"/>
      <c r="C1" s="508"/>
      <c r="D1" s="508"/>
      <c r="E1" s="508"/>
      <c r="F1" s="508"/>
      <c r="G1" s="509" t="s">
        <v>1411</v>
      </c>
      <c r="H1" s="510"/>
      <c r="I1" s="510"/>
      <c r="J1" s="510"/>
    </row>
    <row r="2" spans="1:13" ht="15" customHeight="1" x14ac:dyDescent="0.25">
      <c r="A2" s="463" t="s">
        <v>1412</v>
      </c>
      <c r="B2" s="463"/>
      <c r="C2" s="463"/>
      <c r="D2" s="463"/>
      <c r="E2" s="463"/>
      <c r="F2" s="463"/>
      <c r="G2" s="463"/>
      <c r="H2" s="463"/>
      <c r="I2" s="463"/>
      <c r="J2" s="463"/>
      <c r="K2" s="463"/>
      <c r="L2" s="3"/>
      <c r="M2" s="3"/>
    </row>
    <row r="3" spans="1:13" x14ac:dyDescent="0.25">
      <c r="A3" s="463"/>
      <c r="B3" s="463"/>
      <c r="C3" s="463"/>
      <c r="D3" s="463"/>
      <c r="E3" s="463"/>
      <c r="F3" s="463"/>
      <c r="G3" s="463"/>
      <c r="H3" s="463"/>
      <c r="I3" s="463"/>
      <c r="J3" s="463"/>
      <c r="K3" s="463"/>
      <c r="L3" s="3"/>
      <c r="M3" s="3"/>
    </row>
    <row r="4" spans="1:13" x14ac:dyDescent="0.25">
      <c r="A4" s="463"/>
      <c r="B4" s="463"/>
      <c r="C4" s="463"/>
      <c r="D4" s="463"/>
      <c r="E4" s="463"/>
      <c r="F4" s="463"/>
      <c r="G4" s="463"/>
      <c r="H4" s="463"/>
      <c r="I4" s="463"/>
      <c r="J4" s="463"/>
      <c r="K4" s="463"/>
      <c r="L4" s="3"/>
      <c r="M4" s="3"/>
    </row>
    <row r="5" spans="1:13" x14ac:dyDescent="0.25">
      <c r="A5" s="463"/>
      <c r="B5" s="463"/>
      <c r="C5" s="463"/>
      <c r="D5" s="463"/>
      <c r="E5" s="463"/>
      <c r="F5" s="463"/>
      <c r="G5" s="463"/>
      <c r="H5" s="463"/>
      <c r="I5" s="463"/>
      <c r="J5" s="463"/>
      <c r="K5" s="463"/>
      <c r="L5" s="3"/>
      <c r="M5" s="3"/>
    </row>
    <row r="8" spans="1:13" x14ac:dyDescent="0.25">
      <c r="B8" s="1" t="s">
        <v>2</v>
      </c>
      <c r="C8" s="1" t="s">
        <v>3</v>
      </c>
      <c r="D8" s="1"/>
      <c r="E8" s="1"/>
      <c r="F8" s="1"/>
      <c r="G8" s="1"/>
      <c r="H8" s="1"/>
    </row>
    <row r="9" spans="1:13" x14ac:dyDescent="0.25">
      <c r="B9" s="1"/>
      <c r="C9" s="1" t="s">
        <v>4</v>
      </c>
      <c r="D9" s="1"/>
      <c r="E9" s="1"/>
      <c r="F9" s="1"/>
      <c r="G9" s="1"/>
      <c r="H9" s="1"/>
    </row>
    <row r="10" spans="1:13" x14ac:dyDescent="0.25">
      <c r="B10" s="1" t="s">
        <v>5</v>
      </c>
      <c r="C10" s="1" t="s">
        <v>6</v>
      </c>
      <c r="D10" s="1"/>
      <c r="E10" s="1"/>
      <c r="F10" s="1"/>
      <c r="G10" s="1"/>
      <c r="H10" s="1"/>
    </row>
    <row r="11" spans="1:13" x14ac:dyDescent="0.25">
      <c r="B11" s="1"/>
      <c r="C11" s="1" t="s">
        <v>7</v>
      </c>
      <c r="D11" s="1"/>
      <c r="E11" s="1"/>
      <c r="F11" s="1"/>
      <c r="G11" s="1"/>
      <c r="H11" s="1"/>
    </row>
    <row r="12" spans="1:13" x14ac:dyDescent="0.25">
      <c r="B12" s="1"/>
      <c r="C12" s="1" t="s">
        <v>8</v>
      </c>
      <c r="D12" s="1"/>
      <c r="E12" s="1"/>
      <c r="F12" s="1"/>
      <c r="G12" s="1"/>
      <c r="H12" s="1"/>
    </row>
    <row r="13" spans="1:13" x14ac:dyDescent="0.25">
      <c r="B13" s="1"/>
      <c r="C13" s="1" t="s">
        <v>9</v>
      </c>
      <c r="D13" s="1"/>
      <c r="E13" s="1"/>
      <c r="F13" s="1"/>
      <c r="G13" s="1"/>
      <c r="H13" s="1"/>
    </row>
    <row r="16" spans="1:13" x14ac:dyDescent="0.25">
      <c r="A16" s="4" t="s">
        <v>10</v>
      </c>
      <c r="B16" s="469" t="s">
        <v>11</v>
      </c>
      <c r="C16" s="469"/>
      <c r="D16" s="469"/>
      <c r="E16" s="469"/>
      <c r="F16" s="469"/>
      <c r="G16" s="469"/>
      <c r="H16" s="469"/>
      <c r="I16" s="469"/>
      <c r="J16" s="469"/>
      <c r="K16" s="469"/>
    </row>
    <row r="18" spans="1:11" x14ac:dyDescent="0.25">
      <c r="B18" s="469" t="s">
        <v>527</v>
      </c>
      <c r="C18" s="469"/>
      <c r="D18" s="469"/>
      <c r="F18" s="68"/>
    </row>
    <row r="19" spans="1:11" x14ac:dyDescent="0.25">
      <c r="B19" s="469" t="s">
        <v>528</v>
      </c>
      <c r="C19" s="469"/>
      <c r="D19" s="469"/>
      <c r="F19" s="321">
        <v>2193</v>
      </c>
    </row>
    <row r="20" spans="1:11" x14ac:dyDescent="0.25">
      <c r="B20" s="469" t="s">
        <v>529</v>
      </c>
      <c r="C20" s="469"/>
      <c r="D20" s="469"/>
      <c r="F20" s="8" t="s">
        <v>530</v>
      </c>
    </row>
    <row r="21" spans="1:11" x14ac:dyDescent="0.25">
      <c r="B21" s="469" t="s">
        <v>531</v>
      </c>
      <c r="C21" s="469"/>
      <c r="D21" s="469"/>
      <c r="F21" s="212">
        <v>37.15</v>
      </c>
    </row>
    <row r="23" spans="1:11" x14ac:dyDescent="0.25">
      <c r="A23" s="4" t="s">
        <v>12</v>
      </c>
      <c r="B23" s="469" t="s">
        <v>13</v>
      </c>
      <c r="C23" s="469"/>
      <c r="D23" s="469"/>
      <c r="E23" s="469"/>
      <c r="F23" s="469"/>
      <c r="G23" s="469"/>
      <c r="H23" s="469"/>
      <c r="I23" s="469"/>
      <c r="J23" s="469"/>
      <c r="K23" s="469"/>
    </row>
    <row r="25" spans="1:11" x14ac:dyDescent="0.25">
      <c r="B25" s="469" t="s">
        <v>527</v>
      </c>
      <c r="C25" s="469"/>
      <c r="D25" s="469"/>
      <c r="F25" s="68"/>
    </row>
    <row r="26" spans="1:11" x14ac:dyDescent="0.25">
      <c r="B26" s="469" t="s">
        <v>528</v>
      </c>
      <c r="C26" s="469"/>
      <c r="D26" s="469"/>
      <c r="F26" s="321">
        <v>2193</v>
      </c>
    </row>
    <row r="27" spans="1:11" x14ac:dyDescent="0.25">
      <c r="B27" s="469" t="s">
        <v>529</v>
      </c>
      <c r="C27" s="469"/>
      <c r="D27" s="469"/>
      <c r="F27" s="8" t="s">
        <v>530</v>
      </c>
    </row>
    <row r="28" spans="1:11" x14ac:dyDescent="0.25">
      <c r="B28" s="469" t="s">
        <v>531</v>
      </c>
      <c r="C28" s="469"/>
      <c r="D28" s="469"/>
      <c r="F28" s="212">
        <v>37.15</v>
      </c>
    </row>
    <row r="30" spans="1:11" x14ac:dyDescent="0.25">
      <c r="A30" s="4" t="s">
        <v>15</v>
      </c>
      <c r="B30" s="469" t="s">
        <v>16</v>
      </c>
      <c r="C30" s="469"/>
      <c r="D30" s="469"/>
      <c r="E30" s="469"/>
      <c r="F30" s="469"/>
      <c r="G30" s="469"/>
      <c r="H30" s="469"/>
      <c r="I30" s="469"/>
      <c r="J30" s="469"/>
      <c r="K30" s="469"/>
    </row>
    <row r="32" spans="1:11" x14ac:dyDescent="0.25">
      <c r="B32" s="469" t="s">
        <v>532</v>
      </c>
      <c r="C32" s="469"/>
      <c r="D32" s="469"/>
      <c r="E32" s="469"/>
      <c r="F32" s="469"/>
      <c r="G32" s="469"/>
      <c r="H32" s="469"/>
      <c r="I32" s="469"/>
      <c r="J32" s="469"/>
      <c r="K32" s="469"/>
    </row>
    <row r="34" spans="1:13" x14ac:dyDescent="0.25">
      <c r="B34" s="469" t="s">
        <v>533</v>
      </c>
      <c r="C34" s="469"/>
      <c r="E34" s="469" t="s">
        <v>528</v>
      </c>
      <c r="F34" s="469"/>
      <c r="G34" s="469"/>
      <c r="I34" s="321">
        <v>2193</v>
      </c>
    </row>
    <row r="35" spans="1:13" x14ac:dyDescent="0.25">
      <c r="E35" s="469" t="s">
        <v>529</v>
      </c>
      <c r="F35" s="469"/>
      <c r="G35" s="469"/>
      <c r="I35" s="8" t="s">
        <v>530</v>
      </c>
    </row>
    <row r="36" spans="1:13" x14ac:dyDescent="0.25">
      <c r="E36" s="469" t="s">
        <v>531</v>
      </c>
      <c r="F36" s="469"/>
      <c r="G36" s="469"/>
      <c r="I36" s="212">
        <v>37.15</v>
      </c>
    </row>
    <row r="37" spans="1:13" x14ac:dyDescent="0.25">
      <c r="I37" s="8"/>
    </row>
    <row r="38" spans="1:13" x14ac:dyDescent="0.25">
      <c r="B38" s="469" t="s">
        <v>534</v>
      </c>
      <c r="C38" s="469"/>
      <c r="E38" s="469" t="s">
        <v>528</v>
      </c>
      <c r="F38" s="469"/>
      <c r="G38" s="469"/>
      <c r="I38" s="321">
        <v>2193</v>
      </c>
    </row>
    <row r="39" spans="1:13" x14ac:dyDescent="0.25">
      <c r="E39" s="469" t="s">
        <v>529</v>
      </c>
      <c r="F39" s="469"/>
      <c r="G39" s="469"/>
      <c r="I39" s="8" t="s">
        <v>530</v>
      </c>
    </row>
    <row r="40" spans="1:13" x14ac:dyDescent="0.25">
      <c r="E40" s="469" t="s">
        <v>531</v>
      </c>
      <c r="F40" s="469"/>
      <c r="G40" s="469"/>
      <c r="I40" s="212">
        <v>37.15</v>
      </c>
    </row>
    <row r="41" spans="1:13" x14ac:dyDescent="0.25">
      <c r="E41" s="469"/>
      <c r="F41" s="469"/>
      <c r="G41" s="469"/>
    </row>
    <row r="42" spans="1:13" x14ac:dyDescent="0.25">
      <c r="A42" s="4" t="s">
        <v>17</v>
      </c>
      <c r="B42" s="469" t="s">
        <v>18</v>
      </c>
      <c r="C42" s="469"/>
      <c r="D42" s="469"/>
      <c r="E42" s="469"/>
      <c r="F42" s="469"/>
      <c r="G42" s="469"/>
      <c r="H42" s="469"/>
      <c r="I42" s="469"/>
      <c r="J42" s="469"/>
      <c r="K42" s="469"/>
    </row>
    <row r="44" spans="1:13" x14ac:dyDescent="0.25">
      <c r="B44" s="469" t="s">
        <v>535</v>
      </c>
      <c r="C44" s="469"/>
      <c r="D44" s="469"/>
      <c r="F44" s="68"/>
      <c r="G44" s="1"/>
      <c r="H44" s="1"/>
      <c r="I44" s="1"/>
      <c r="J44" s="1"/>
      <c r="K44" s="1"/>
      <c r="L44" s="1"/>
      <c r="M44" s="1"/>
    </row>
    <row r="45" spans="1:13" x14ac:dyDescent="0.25">
      <c r="B45" s="469" t="s">
        <v>528</v>
      </c>
      <c r="C45" s="469"/>
      <c r="D45" s="469"/>
      <c r="F45" s="321">
        <v>2041</v>
      </c>
      <c r="G45" s="506" t="s">
        <v>536</v>
      </c>
      <c r="H45" s="469"/>
      <c r="I45" s="469"/>
      <c r="J45" s="469"/>
      <c r="K45" s="1"/>
      <c r="L45" s="1"/>
      <c r="M45" s="1"/>
    </row>
    <row r="46" spans="1:13" x14ac:dyDescent="0.25">
      <c r="B46" s="469" t="s">
        <v>529</v>
      </c>
      <c r="C46" s="469"/>
      <c r="D46" s="469"/>
      <c r="F46" s="8" t="s">
        <v>530</v>
      </c>
      <c r="G46" s="1"/>
      <c r="H46" s="1"/>
      <c r="I46" s="1"/>
      <c r="J46" s="1"/>
      <c r="K46" s="1"/>
      <c r="L46" s="1"/>
      <c r="M46" s="1"/>
    </row>
    <row r="47" spans="1:13" x14ac:dyDescent="0.25">
      <c r="B47" s="469" t="s">
        <v>531</v>
      </c>
      <c r="C47" s="469"/>
      <c r="D47" s="469"/>
      <c r="F47" s="212">
        <v>20.16</v>
      </c>
    </row>
    <row r="49" spans="1:14" x14ac:dyDescent="0.25">
      <c r="A49" s="4" t="s">
        <v>20</v>
      </c>
      <c r="B49" s="469" t="s">
        <v>21</v>
      </c>
      <c r="C49" s="469"/>
      <c r="D49" s="469"/>
      <c r="E49" s="469"/>
      <c r="F49" s="469"/>
      <c r="G49" s="469"/>
      <c r="H49" s="469"/>
      <c r="I49" s="469"/>
      <c r="J49" s="469"/>
      <c r="K49" s="469"/>
    </row>
    <row r="51" spans="1:14" x14ac:dyDescent="0.25">
      <c r="B51" s="469" t="s">
        <v>537</v>
      </c>
      <c r="C51" s="469"/>
      <c r="D51" s="469"/>
      <c r="E51" s="469"/>
      <c r="F51" s="469"/>
    </row>
    <row r="52" spans="1:14" x14ac:dyDescent="0.25">
      <c r="B52" s="469" t="s">
        <v>528</v>
      </c>
      <c r="C52" s="469"/>
      <c r="D52" s="469"/>
      <c r="E52" s="469"/>
      <c r="F52" s="469"/>
      <c r="H52" s="469" t="s">
        <v>538</v>
      </c>
      <c r="I52" s="469"/>
      <c r="J52" s="469"/>
      <c r="K52" s="469"/>
      <c r="L52" s="469"/>
      <c r="M52" s="469"/>
      <c r="N52" s="469"/>
    </row>
    <row r="53" spans="1:14" x14ac:dyDescent="0.25">
      <c r="B53" s="469" t="s">
        <v>529</v>
      </c>
      <c r="C53" s="469"/>
      <c r="D53" s="469"/>
      <c r="E53" s="469"/>
      <c r="F53" s="469"/>
      <c r="H53" s="469" t="s">
        <v>539</v>
      </c>
      <c r="I53" s="469"/>
      <c r="J53" s="469"/>
      <c r="K53" s="469"/>
      <c r="L53" s="469"/>
      <c r="M53" s="469"/>
      <c r="N53" s="469"/>
    </row>
    <row r="54" spans="1:14" x14ac:dyDescent="0.25">
      <c r="B54" s="469" t="s">
        <v>531</v>
      </c>
      <c r="C54" s="469"/>
      <c r="D54" s="469"/>
      <c r="E54" s="469"/>
      <c r="F54" s="469"/>
      <c r="H54" s="70">
        <v>17.28</v>
      </c>
    </row>
    <row r="56" spans="1:14" x14ac:dyDescent="0.25">
      <c r="B56" s="469" t="s">
        <v>540</v>
      </c>
      <c r="C56" s="469"/>
      <c r="D56" s="469"/>
      <c r="E56" s="469"/>
      <c r="F56" s="469"/>
      <c r="H56" s="469" t="s">
        <v>541</v>
      </c>
      <c r="I56" s="469"/>
      <c r="J56" s="469"/>
      <c r="K56" s="469"/>
      <c r="L56" s="469"/>
      <c r="M56" s="469"/>
      <c r="N56" s="469"/>
    </row>
    <row r="57" spans="1:14" x14ac:dyDescent="0.25">
      <c r="B57" s="469" t="s">
        <v>528</v>
      </c>
      <c r="C57" s="469"/>
      <c r="D57" s="469"/>
      <c r="E57" s="469"/>
      <c r="F57" s="469"/>
      <c r="H57" s="469" t="s">
        <v>542</v>
      </c>
      <c r="I57" s="469"/>
      <c r="J57" s="469"/>
      <c r="K57" s="469"/>
      <c r="L57" s="469"/>
      <c r="M57" s="469"/>
      <c r="N57" s="469"/>
    </row>
    <row r="58" spans="1:14" x14ac:dyDescent="0.25">
      <c r="B58" s="469" t="s">
        <v>529</v>
      </c>
      <c r="C58" s="469"/>
      <c r="D58" s="469"/>
      <c r="E58" s="469"/>
      <c r="F58" s="469"/>
      <c r="H58" s="70">
        <v>18.600000000000001</v>
      </c>
    </row>
    <row r="59" spans="1:14" x14ac:dyDescent="0.25">
      <c r="B59" s="469" t="s">
        <v>531</v>
      </c>
      <c r="C59" s="469"/>
      <c r="D59" s="469"/>
      <c r="E59" s="469"/>
      <c r="F59" s="469"/>
    </row>
    <row r="60" spans="1:14" x14ac:dyDescent="0.25">
      <c r="B60" s="469"/>
      <c r="C60" s="469"/>
      <c r="D60" s="469"/>
      <c r="E60" s="469"/>
      <c r="F60" s="469"/>
      <c r="G60" s="1"/>
      <c r="H60" s="505" t="s">
        <v>543</v>
      </c>
      <c r="I60" s="469"/>
      <c r="J60" s="469"/>
      <c r="K60" s="1"/>
      <c r="L60" s="72"/>
      <c r="M60" s="1"/>
    </row>
    <row r="61" spans="1:14" x14ac:dyDescent="0.25">
      <c r="B61" s="1"/>
      <c r="C61" s="1"/>
      <c r="D61" s="1"/>
      <c r="E61" s="1"/>
      <c r="F61" s="1"/>
      <c r="G61" s="1"/>
      <c r="H61" s="1"/>
      <c r="I61" s="1"/>
      <c r="J61" s="1"/>
      <c r="K61" s="1"/>
      <c r="L61" s="1"/>
      <c r="M61" s="1"/>
    </row>
    <row r="62" spans="1:14" x14ac:dyDescent="0.25">
      <c r="A62" t="s">
        <v>22</v>
      </c>
      <c r="B62" s="469" t="s">
        <v>23</v>
      </c>
      <c r="C62" s="469"/>
      <c r="D62" s="469"/>
      <c r="E62" s="469"/>
      <c r="F62" s="469"/>
      <c r="G62" s="469"/>
      <c r="H62" s="469"/>
      <c r="I62" s="469"/>
      <c r="J62" s="469"/>
      <c r="K62" s="469"/>
    </row>
    <row r="63" spans="1:14" ht="40.700000000000003" customHeight="1" x14ac:dyDescent="0.25">
      <c r="B63" s="473" t="s">
        <v>24</v>
      </c>
      <c r="C63" s="473"/>
      <c r="D63" s="473"/>
      <c r="E63" s="473"/>
      <c r="F63" s="473"/>
      <c r="G63" s="473"/>
      <c r="H63" s="473"/>
      <c r="I63" s="473"/>
      <c r="J63" s="473"/>
      <c r="K63" s="473"/>
      <c r="L63" s="1"/>
      <c r="M63" s="1"/>
    </row>
    <row r="64" spans="1:14" x14ac:dyDescent="0.25">
      <c r="B64" s="2"/>
      <c r="C64" s="2"/>
      <c r="D64" s="2"/>
      <c r="E64" s="2"/>
      <c r="F64" s="2"/>
      <c r="G64" s="2"/>
      <c r="H64" s="2"/>
      <c r="I64" s="2"/>
      <c r="J64" s="2"/>
      <c r="K64" s="2"/>
      <c r="L64" s="1"/>
      <c r="M64" s="1"/>
    </row>
    <row r="65" spans="2:13" x14ac:dyDescent="0.25">
      <c r="B65" s="503" t="s">
        <v>544</v>
      </c>
      <c r="C65" s="469"/>
      <c r="D65" s="469"/>
      <c r="E65" s="469"/>
      <c r="F65" s="469"/>
      <c r="G65" s="469"/>
      <c r="H65" s="469"/>
      <c r="I65" s="2"/>
      <c r="J65" s="2"/>
      <c r="K65" s="2"/>
      <c r="L65" s="1"/>
      <c r="M65" s="1"/>
    </row>
    <row r="67" spans="2:13" x14ac:dyDescent="0.25">
      <c r="B67" s="504" t="s">
        <v>545</v>
      </c>
      <c r="C67" s="504"/>
      <c r="D67" s="504"/>
      <c r="E67" s="504"/>
      <c r="G67" s="469" t="s">
        <v>546</v>
      </c>
      <c r="H67" s="469"/>
    </row>
    <row r="69" spans="2:13" ht="94.15" customHeight="1" x14ac:dyDescent="0.25">
      <c r="B69" s="502" t="s">
        <v>1413</v>
      </c>
      <c r="C69" s="502"/>
      <c r="D69" s="502"/>
      <c r="E69" s="502"/>
      <c r="F69" s="502"/>
      <c r="G69" s="502"/>
      <c r="H69" s="502"/>
      <c r="I69" s="502"/>
      <c r="J69" s="502"/>
      <c r="K69" s="502"/>
    </row>
    <row r="73" spans="2:13" x14ac:dyDescent="0.25">
      <c r="B73" s="1"/>
      <c r="C73" s="1"/>
      <c r="D73" s="1"/>
      <c r="E73" s="1"/>
      <c r="F73" s="1"/>
      <c r="G73" s="1"/>
      <c r="H73" s="1"/>
      <c r="I73" s="1"/>
      <c r="J73" s="1"/>
      <c r="K73" s="1"/>
      <c r="L73" s="1"/>
      <c r="M73" s="1"/>
    </row>
    <row r="74" spans="2:13" x14ac:dyDescent="0.25">
      <c r="B74" s="1"/>
      <c r="C74" s="1"/>
      <c r="D74" s="1"/>
      <c r="E74" s="1"/>
      <c r="F74" s="1"/>
      <c r="G74" s="1"/>
      <c r="H74" s="1"/>
      <c r="I74" s="1"/>
      <c r="J74" s="1"/>
      <c r="K74" s="1"/>
      <c r="L74" s="1"/>
      <c r="M74" s="1"/>
    </row>
    <row r="75" spans="2:13" x14ac:dyDescent="0.25">
      <c r="B75" s="1"/>
      <c r="C75" s="1"/>
      <c r="D75" s="1"/>
      <c r="E75" s="1"/>
      <c r="F75" s="1"/>
      <c r="G75" s="1"/>
      <c r="H75" s="1"/>
      <c r="I75" s="1"/>
      <c r="J75" s="1"/>
      <c r="K75" s="1"/>
      <c r="L75" s="1"/>
      <c r="M75" s="1"/>
    </row>
  </sheetData>
  <mergeCells count="51">
    <mergeCell ref="A1:F1"/>
    <mergeCell ref="G1:J1"/>
    <mergeCell ref="A2:K5"/>
    <mergeCell ref="B16:K16"/>
    <mergeCell ref="B18:D18"/>
    <mergeCell ref="B19:D19"/>
    <mergeCell ref="B20:D20"/>
    <mergeCell ref="B21:D21"/>
    <mergeCell ref="B23:K23"/>
    <mergeCell ref="B25:D25"/>
    <mergeCell ref="B26:D26"/>
    <mergeCell ref="B27:D27"/>
    <mergeCell ref="B28:D28"/>
    <mergeCell ref="B30:K30"/>
    <mergeCell ref="B32:K32"/>
    <mergeCell ref="B34:C34"/>
    <mergeCell ref="E34:G34"/>
    <mergeCell ref="E35:G35"/>
    <mergeCell ref="E36:G36"/>
    <mergeCell ref="B38:C38"/>
    <mergeCell ref="E38:G38"/>
    <mergeCell ref="E39:G39"/>
    <mergeCell ref="E40:G40"/>
    <mergeCell ref="E41:G41"/>
    <mergeCell ref="B42:K42"/>
    <mergeCell ref="B44:D44"/>
    <mergeCell ref="B45:D45"/>
    <mergeCell ref="G45:J45"/>
    <mergeCell ref="B46:D46"/>
    <mergeCell ref="B47:D47"/>
    <mergeCell ref="B49:K49"/>
    <mergeCell ref="B51:F51"/>
    <mergeCell ref="B52:F52"/>
    <mergeCell ref="H52:N52"/>
    <mergeCell ref="B59:F59"/>
    <mergeCell ref="B60:F60"/>
    <mergeCell ref="H60:J60"/>
    <mergeCell ref="B53:F53"/>
    <mergeCell ref="H53:N53"/>
    <mergeCell ref="B54:F54"/>
    <mergeCell ref="B56:F56"/>
    <mergeCell ref="H56:N56"/>
    <mergeCell ref="B57:F57"/>
    <mergeCell ref="H57:N57"/>
    <mergeCell ref="B58:F58"/>
    <mergeCell ref="B69:K69"/>
    <mergeCell ref="B62:K62"/>
    <mergeCell ref="B63:K63"/>
    <mergeCell ref="B65:H65"/>
    <mergeCell ref="B67:E67"/>
    <mergeCell ref="G67:H6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2925E-89CC-4E0E-9D0F-B231FFFDE52F}">
  <dimension ref="A1:M81"/>
  <sheetViews>
    <sheetView workbookViewId="0">
      <selection sqref="A1:XFD1048576"/>
    </sheetView>
  </sheetViews>
  <sheetFormatPr defaultRowHeight="15" x14ac:dyDescent="0.25"/>
  <cols>
    <col min="1" max="7" width="9.140625" style="84"/>
    <col min="8" max="8" width="11.7109375" style="84" customWidth="1"/>
    <col min="9" max="16384" width="9.140625" style="84"/>
  </cols>
  <sheetData>
    <row r="1" spans="1:13" ht="21" x14ac:dyDescent="0.35">
      <c r="A1" s="457" t="s">
        <v>1414</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8" x14ac:dyDescent="0.25">
      <c r="A17" s="84" t="s">
        <v>10</v>
      </c>
      <c r="B17" s="84" t="s">
        <v>11</v>
      </c>
    </row>
    <row r="20" spans="1:8" x14ac:dyDescent="0.25">
      <c r="C20" t="s">
        <v>1415</v>
      </c>
      <c r="D20"/>
      <c r="E20"/>
      <c r="F20"/>
      <c r="G20"/>
      <c r="H20" s="68">
        <v>2205</v>
      </c>
    </row>
    <row r="21" spans="1:8" x14ac:dyDescent="0.25">
      <c r="C21"/>
      <c r="D21"/>
      <c r="E21"/>
      <c r="F21"/>
      <c r="G21"/>
      <c r="H21" s="68"/>
    </row>
    <row r="22" spans="1:8" x14ac:dyDescent="0.25">
      <c r="C22" t="s">
        <v>1033</v>
      </c>
      <c r="D22"/>
      <c r="E22"/>
      <c r="F22"/>
      <c r="G22"/>
      <c r="H22" s="73">
        <v>1.6949100000000002E-2</v>
      </c>
    </row>
    <row r="23" spans="1:8" x14ac:dyDescent="0.25">
      <c r="C23"/>
      <c r="D23"/>
      <c r="E23"/>
      <c r="F23"/>
      <c r="G23"/>
      <c r="H23"/>
    </row>
    <row r="24" spans="1:8" x14ac:dyDescent="0.25">
      <c r="C24"/>
      <c r="D24" t="s">
        <v>1034</v>
      </c>
      <c r="E24"/>
      <c r="F24"/>
      <c r="G24"/>
      <c r="H24" s="70">
        <f>SUM(H20*H22)</f>
        <v>37.372765500000007</v>
      </c>
    </row>
    <row r="27" spans="1:8" x14ac:dyDescent="0.25">
      <c r="A27" s="84" t="s">
        <v>12</v>
      </c>
      <c r="B27" s="84" t="s">
        <v>13</v>
      </c>
    </row>
    <row r="30" spans="1:8" x14ac:dyDescent="0.25">
      <c r="C30" t="s">
        <v>1032</v>
      </c>
      <c r="D30"/>
      <c r="E30"/>
      <c r="F30"/>
      <c r="G30"/>
      <c r="H30" s="68">
        <v>2205</v>
      </c>
    </row>
    <row r="31" spans="1:8" x14ac:dyDescent="0.25">
      <c r="C31"/>
      <c r="D31"/>
      <c r="E31"/>
      <c r="F31"/>
      <c r="G31"/>
      <c r="H31"/>
    </row>
    <row r="32" spans="1:8" x14ac:dyDescent="0.25">
      <c r="C32" t="s">
        <v>1033</v>
      </c>
      <c r="D32"/>
      <c r="E32"/>
      <c r="F32"/>
      <c r="G32"/>
      <c r="H32" s="73">
        <v>1.6899999999999998E-2</v>
      </c>
    </row>
    <row r="33" spans="1:8" x14ac:dyDescent="0.25">
      <c r="C33"/>
      <c r="D33"/>
      <c r="E33"/>
      <c r="F33"/>
      <c r="G33"/>
      <c r="H33"/>
    </row>
    <row r="34" spans="1:8" x14ac:dyDescent="0.25">
      <c r="C34"/>
      <c r="D34" t="s">
        <v>1034</v>
      </c>
      <c r="E34"/>
      <c r="F34"/>
      <c r="G34"/>
      <c r="H34" s="70">
        <v>37.369999999999997</v>
      </c>
    </row>
    <row r="35" spans="1:8" x14ac:dyDescent="0.25">
      <c r="C35"/>
      <c r="D35"/>
      <c r="E35"/>
      <c r="F35"/>
      <c r="G35"/>
      <c r="H35" s="68"/>
    </row>
    <row r="37" spans="1:8" x14ac:dyDescent="0.25">
      <c r="A37" s="84" t="s">
        <v>15</v>
      </c>
      <c r="B37" s="84" t="s">
        <v>16</v>
      </c>
    </row>
    <row r="40" spans="1:8" x14ac:dyDescent="0.25">
      <c r="C40" s="4" t="s">
        <v>1416</v>
      </c>
      <c r="D40"/>
      <c r="E40"/>
      <c r="F40"/>
      <c r="G40"/>
      <c r="H40"/>
    </row>
    <row r="41" spans="1:8" x14ac:dyDescent="0.25">
      <c r="C41"/>
      <c r="D41"/>
      <c r="E41"/>
      <c r="F41"/>
      <c r="G41"/>
      <c r="H41"/>
    </row>
    <row r="47" spans="1:8" x14ac:dyDescent="0.25">
      <c r="A47" s="84" t="s">
        <v>17</v>
      </c>
      <c r="B47" s="84" t="s">
        <v>18</v>
      </c>
    </row>
    <row r="49" spans="1:13" x14ac:dyDescent="0.25">
      <c r="B49"/>
      <c r="C49" s="1" t="s">
        <v>1035</v>
      </c>
      <c r="D49" s="1"/>
      <c r="E49" s="1"/>
      <c r="F49" s="1"/>
      <c r="G49" s="1"/>
      <c r="H49" s="81">
        <v>1190</v>
      </c>
      <c r="I49" s="1"/>
      <c r="J49" s="86"/>
      <c r="K49" s="86"/>
      <c r="L49" s="86"/>
      <c r="M49" s="86"/>
    </row>
    <row r="50" spans="1:13" x14ac:dyDescent="0.25">
      <c r="B50"/>
      <c r="C50" s="1"/>
      <c r="D50" s="1"/>
      <c r="E50" s="1"/>
      <c r="F50" s="1"/>
      <c r="G50" s="1"/>
      <c r="H50" s="1"/>
      <c r="I50" s="1"/>
      <c r="J50" s="86"/>
      <c r="K50" s="86"/>
      <c r="L50" s="86"/>
      <c r="M50" s="86"/>
    </row>
    <row r="51" spans="1:13" x14ac:dyDescent="0.25">
      <c r="B51"/>
      <c r="C51" t="s">
        <v>1417</v>
      </c>
      <c r="D51"/>
      <c r="E51"/>
      <c r="F51"/>
      <c r="G51"/>
      <c r="H51" s="73">
        <v>1.6949100000000002E-2</v>
      </c>
      <c r="I51"/>
      <c r="J51" s="86"/>
      <c r="K51" s="86"/>
      <c r="L51" s="86"/>
      <c r="M51" s="86"/>
    </row>
    <row r="52" spans="1:13" x14ac:dyDescent="0.25">
      <c r="B52"/>
      <c r="C52"/>
      <c r="D52"/>
      <c r="E52"/>
      <c r="F52"/>
      <c r="G52"/>
      <c r="H52"/>
      <c r="I52"/>
    </row>
    <row r="53" spans="1:13" x14ac:dyDescent="0.25">
      <c r="B53"/>
      <c r="C53"/>
      <c r="D53" s="4" t="s">
        <v>1036</v>
      </c>
      <c r="E53"/>
      <c r="F53"/>
      <c r="G53"/>
      <c r="H53" s="70">
        <f>SUM(H49*H51)</f>
        <v>20.169429000000001</v>
      </c>
      <c r="I53"/>
    </row>
    <row r="54" spans="1:13" x14ac:dyDescent="0.25">
      <c r="B54"/>
      <c r="C54"/>
      <c r="D54"/>
      <c r="E54"/>
      <c r="F54"/>
      <c r="G54"/>
      <c r="H54"/>
      <c r="I54"/>
    </row>
    <row r="55" spans="1:13" x14ac:dyDescent="0.25">
      <c r="B55"/>
      <c r="C55"/>
      <c r="D55" s="72" t="s">
        <v>1418</v>
      </c>
      <c r="E55" s="1"/>
      <c r="F55" s="1"/>
      <c r="G55" s="1"/>
      <c r="H55" s="1"/>
      <c r="I55" s="1"/>
    </row>
    <row r="57" spans="1:13" x14ac:dyDescent="0.25">
      <c r="A57" s="84" t="s">
        <v>20</v>
      </c>
      <c r="B57" s="84" t="s">
        <v>21</v>
      </c>
    </row>
    <row r="60" spans="1:13" x14ac:dyDescent="0.25">
      <c r="C60" s="322" t="s">
        <v>1419</v>
      </c>
      <c r="D60" t="s">
        <v>1420</v>
      </c>
      <c r="E60"/>
      <c r="F60"/>
      <c r="G60"/>
      <c r="H60" s="68">
        <v>1020</v>
      </c>
      <c r="I60"/>
      <c r="J60"/>
      <c r="K60"/>
      <c r="L60"/>
    </row>
    <row r="61" spans="1:13" x14ac:dyDescent="0.25">
      <c r="C61" s="323" t="s">
        <v>1421</v>
      </c>
      <c r="D61" t="s">
        <v>1422</v>
      </c>
      <c r="E61"/>
      <c r="F61"/>
      <c r="G61"/>
      <c r="H61" s="68">
        <v>1102.5</v>
      </c>
      <c r="I61"/>
      <c r="J61"/>
      <c r="K61"/>
      <c r="L61"/>
    </row>
    <row r="62" spans="1:13" x14ac:dyDescent="0.25">
      <c r="C62"/>
      <c r="D62"/>
      <c r="E62"/>
      <c r="F62"/>
      <c r="G62"/>
      <c r="H62"/>
      <c r="I62"/>
      <c r="J62"/>
      <c r="K62"/>
      <c r="L62"/>
    </row>
    <row r="63" spans="1:13" x14ac:dyDescent="0.25">
      <c r="C63"/>
      <c r="D63" s="4" t="s">
        <v>1423</v>
      </c>
      <c r="E63" s="4"/>
      <c r="F63" s="4"/>
      <c r="G63"/>
      <c r="H63" s="26"/>
      <c r="I63"/>
      <c r="J63" s="69"/>
      <c r="K63" s="4"/>
      <c r="L63"/>
    </row>
    <row r="64" spans="1:13" x14ac:dyDescent="0.25">
      <c r="C64"/>
      <c r="D64" s="4"/>
      <c r="E64" s="4"/>
      <c r="F64" s="4"/>
      <c r="G64"/>
      <c r="H64" s="26"/>
      <c r="I64"/>
      <c r="J64" s="69"/>
      <c r="K64" s="4"/>
      <c r="L64"/>
    </row>
    <row r="65" spans="1:13" x14ac:dyDescent="0.25">
      <c r="B65" s="86"/>
      <c r="C65"/>
      <c r="D65"/>
      <c r="E65"/>
      <c r="F65" s="4" t="s">
        <v>1424</v>
      </c>
      <c r="G65" s="4"/>
      <c r="H65" s="4"/>
      <c r="I65"/>
      <c r="J65" s="69"/>
      <c r="K65" s="4"/>
      <c r="L65"/>
      <c r="M65" s="86"/>
    </row>
    <row r="66" spans="1:13" x14ac:dyDescent="0.25">
      <c r="B66" s="86"/>
      <c r="C66"/>
      <c r="D66"/>
      <c r="E66"/>
      <c r="F66"/>
      <c r="G66"/>
      <c r="H66"/>
      <c r="I66"/>
      <c r="J66"/>
      <c r="K66"/>
      <c r="L66"/>
      <c r="M66" s="86"/>
    </row>
    <row r="67" spans="1:13" x14ac:dyDescent="0.25">
      <c r="B67" s="86"/>
      <c r="C67"/>
      <c r="D67"/>
      <c r="E67"/>
      <c r="F67"/>
      <c r="G67"/>
      <c r="H67"/>
      <c r="I67"/>
      <c r="J67"/>
      <c r="K67"/>
      <c r="L67"/>
      <c r="M67" s="86"/>
    </row>
    <row r="68" spans="1:13" x14ac:dyDescent="0.25">
      <c r="A68" s="84" t="s">
        <v>22</v>
      </c>
      <c r="B68" s="84" t="s">
        <v>23</v>
      </c>
      <c r="C68" s="1"/>
      <c r="D68" s="72" t="s">
        <v>1425</v>
      </c>
      <c r="E68" s="1"/>
      <c r="F68" s="1"/>
      <c r="G68" s="1"/>
      <c r="H68" s="1"/>
      <c r="I68" s="1"/>
      <c r="J68" s="1"/>
      <c r="K68" s="1"/>
      <c r="L68" s="1"/>
    </row>
    <row r="69" spans="1:13" ht="40.5" customHeight="1" x14ac:dyDescent="0.25">
      <c r="B69" s="459" t="s">
        <v>24</v>
      </c>
      <c r="C69" s="459"/>
      <c r="D69" s="459"/>
      <c r="E69" s="459"/>
      <c r="F69" s="459"/>
      <c r="G69" s="459"/>
      <c r="H69" s="459"/>
      <c r="I69" s="459"/>
      <c r="J69" s="459"/>
      <c r="K69" s="459"/>
      <c r="L69" s="86"/>
      <c r="M69" s="86"/>
    </row>
    <row r="70" spans="1:13" x14ac:dyDescent="0.25">
      <c r="B70" s="88"/>
      <c r="C70" s="88"/>
      <c r="D70" s="88"/>
      <c r="E70" s="88"/>
      <c r="F70" s="88"/>
      <c r="G70" s="88"/>
      <c r="H70" s="88"/>
      <c r="I70" s="88"/>
      <c r="J70" s="88"/>
      <c r="K70" s="88"/>
      <c r="L70" s="86"/>
      <c r="M70" s="86"/>
    </row>
    <row r="71" spans="1:13" x14ac:dyDescent="0.25">
      <c r="B71" s="88"/>
      <c r="C71" s="88"/>
      <c r="D71" s="88"/>
      <c r="E71" s="88"/>
      <c r="F71" s="88"/>
      <c r="G71" s="88"/>
      <c r="H71" s="88"/>
      <c r="I71" s="88"/>
      <c r="J71" s="88"/>
      <c r="K71" s="88"/>
      <c r="L71" s="86"/>
      <c r="M71" s="86"/>
    </row>
    <row r="72" spans="1:13" x14ac:dyDescent="0.25">
      <c r="C72" s="1" t="s">
        <v>1426</v>
      </c>
      <c r="D72" s="1"/>
      <c r="E72" s="1"/>
      <c r="F72" s="1"/>
      <c r="G72" s="1"/>
      <c r="H72" s="81">
        <v>668</v>
      </c>
    </row>
    <row r="73" spans="1:13" x14ac:dyDescent="0.25">
      <c r="C73" s="1"/>
      <c r="D73" s="1"/>
      <c r="E73" s="1"/>
      <c r="F73" s="1"/>
      <c r="G73" s="1"/>
      <c r="H73" s="81"/>
    </row>
    <row r="74" spans="1:13" x14ac:dyDescent="0.25">
      <c r="C74" t="s">
        <v>1427</v>
      </c>
      <c r="D74"/>
      <c r="E74"/>
      <c r="F74"/>
      <c r="G74"/>
      <c r="H74" s="73">
        <v>1.6948999999999999E-2</v>
      </c>
    </row>
    <row r="75" spans="1:13" x14ac:dyDescent="0.25">
      <c r="C75"/>
      <c r="D75"/>
      <c r="E75"/>
      <c r="F75"/>
      <c r="G75"/>
      <c r="H75" s="73"/>
    </row>
    <row r="76" spans="1:13" x14ac:dyDescent="0.25">
      <c r="C76" s="4" t="s">
        <v>1034</v>
      </c>
      <c r="D76" s="4"/>
      <c r="E76" s="4"/>
      <c r="F76" s="4"/>
      <c r="G76" s="4"/>
      <c r="H76" s="70">
        <f>SUM(H72*H74)</f>
        <v>11.321931999999999</v>
      </c>
    </row>
    <row r="77" spans="1:13" x14ac:dyDescent="0.25">
      <c r="C77"/>
      <c r="D77"/>
      <c r="E77"/>
      <c r="F77"/>
      <c r="G77"/>
      <c r="H77"/>
    </row>
    <row r="78" spans="1:13" x14ac:dyDescent="0.25">
      <c r="C78" s="4" t="s">
        <v>1428</v>
      </c>
      <c r="D78"/>
      <c r="E78"/>
      <c r="F78"/>
      <c r="G78"/>
      <c r="H78"/>
    </row>
    <row r="79" spans="1:13" x14ac:dyDescent="0.25">
      <c r="B79" s="86"/>
      <c r="C79"/>
      <c r="D79"/>
      <c r="E79"/>
      <c r="F79"/>
      <c r="G79"/>
      <c r="H79"/>
      <c r="I79" s="86"/>
      <c r="J79" s="86"/>
      <c r="K79" s="86"/>
      <c r="L79" s="86"/>
      <c r="M79" s="86"/>
    </row>
    <row r="80" spans="1:13" x14ac:dyDescent="0.25">
      <c r="B80" s="86"/>
      <c r="C80" s="86"/>
      <c r="D80" s="86"/>
      <c r="E80" s="86"/>
      <c r="F80" s="86"/>
      <c r="G80" s="86"/>
      <c r="H80" s="86"/>
      <c r="I80" s="86"/>
      <c r="J80" s="86"/>
      <c r="K80" s="86"/>
      <c r="L80" s="86"/>
      <c r="M80" s="86"/>
    </row>
    <row r="81" spans="2:13" x14ac:dyDescent="0.25">
      <c r="B81" s="86"/>
      <c r="C81" s="86"/>
      <c r="D81" s="86"/>
      <c r="E81" s="86"/>
      <c r="F81" s="86"/>
      <c r="G81" s="86"/>
      <c r="H81" s="86"/>
      <c r="I81" s="86"/>
      <c r="J81" s="86"/>
      <c r="K81" s="86"/>
      <c r="L81" s="86"/>
      <c r="M81" s="86"/>
    </row>
  </sheetData>
  <mergeCells count="3">
    <mergeCell ref="A1:I1"/>
    <mergeCell ref="A3:K6"/>
    <mergeCell ref="B69:K69"/>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C9E54-1673-4A8A-BBEA-322F1FB64E5B}">
  <dimension ref="A1:M80"/>
  <sheetViews>
    <sheetView workbookViewId="0">
      <selection sqref="A1:K6"/>
    </sheetView>
  </sheetViews>
  <sheetFormatPr defaultRowHeight="15" x14ac:dyDescent="0.25"/>
  <cols>
    <col min="1" max="3" width="9.140625" style="84"/>
    <col min="4" max="4" width="9.85546875" style="84" bestFit="1" customWidth="1"/>
    <col min="5" max="16384" width="9.140625" style="84"/>
  </cols>
  <sheetData>
    <row r="1" spans="1:13" ht="21" x14ac:dyDescent="0.35">
      <c r="A1" s="457" t="s">
        <v>1429</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7" x14ac:dyDescent="0.25">
      <c r="A17" s="84" t="s">
        <v>10</v>
      </c>
      <c r="B17" s="84" t="s">
        <v>11</v>
      </c>
    </row>
    <row r="19" spans="1:7" x14ac:dyDescent="0.25">
      <c r="B19" s="4" t="s">
        <v>500</v>
      </c>
      <c r="C19"/>
      <c r="D19"/>
      <c r="E19"/>
      <c r="F19"/>
      <c r="G19"/>
    </row>
    <row r="20" spans="1:7" x14ac:dyDescent="0.25">
      <c r="B20" t="s">
        <v>501</v>
      </c>
      <c r="C20"/>
      <c r="D20" s="68">
        <v>1059</v>
      </c>
      <c r="E20"/>
      <c r="F20"/>
      <c r="G20"/>
    </row>
    <row r="21" spans="1:7" x14ac:dyDescent="0.25">
      <c r="B21" t="s">
        <v>502</v>
      </c>
      <c r="C21"/>
      <c r="D21"/>
      <c r="E21"/>
      <c r="F21"/>
      <c r="G21"/>
    </row>
    <row r="22" spans="1:7" x14ac:dyDescent="0.25">
      <c r="B22" t="s">
        <v>503</v>
      </c>
      <c r="C22"/>
      <c r="D22"/>
      <c r="E22"/>
      <c r="F22"/>
      <c r="G22"/>
    </row>
    <row r="23" spans="1:7" x14ac:dyDescent="0.25">
      <c r="B23"/>
      <c r="C23"/>
      <c r="D23"/>
      <c r="E23"/>
      <c r="F23"/>
      <c r="G23"/>
    </row>
    <row r="27" spans="1:7" x14ac:dyDescent="0.25">
      <c r="A27" s="84" t="s">
        <v>12</v>
      </c>
      <c r="B27" s="84" t="s">
        <v>13</v>
      </c>
    </row>
    <row r="29" spans="1:7" x14ac:dyDescent="0.25">
      <c r="B29" s="4" t="s">
        <v>504</v>
      </c>
      <c r="C29"/>
      <c r="D29"/>
      <c r="E29"/>
      <c r="F29"/>
      <c r="G29"/>
    </row>
    <row r="30" spans="1:7" x14ac:dyDescent="0.25">
      <c r="B30" t="s">
        <v>501</v>
      </c>
      <c r="C30"/>
      <c r="D30"/>
      <c r="E30"/>
      <c r="F30"/>
      <c r="G30"/>
    </row>
    <row r="31" spans="1:7" x14ac:dyDescent="0.25">
      <c r="B31" t="s">
        <v>502</v>
      </c>
      <c r="C31"/>
      <c r="D31"/>
      <c r="E31"/>
      <c r="F31"/>
      <c r="G31"/>
    </row>
    <row r="32" spans="1:7" x14ac:dyDescent="0.25">
      <c r="B32" t="s">
        <v>503</v>
      </c>
      <c r="C32"/>
      <c r="D32"/>
      <c r="E32"/>
      <c r="F32"/>
      <c r="G32"/>
    </row>
    <row r="37" spans="1:11" x14ac:dyDescent="0.25">
      <c r="A37" s="84" t="s">
        <v>15</v>
      </c>
      <c r="B37" s="84" t="s">
        <v>16</v>
      </c>
    </row>
    <row r="39" spans="1:11" x14ac:dyDescent="0.25">
      <c r="A39"/>
      <c r="B39" s="4" t="s">
        <v>505</v>
      </c>
      <c r="C39"/>
      <c r="D39"/>
      <c r="E39"/>
      <c r="F39" s="4" t="s">
        <v>506</v>
      </c>
      <c r="G39"/>
      <c r="H39"/>
      <c r="I39" s="4" t="s">
        <v>507</v>
      </c>
      <c r="J39"/>
      <c r="K39"/>
    </row>
    <row r="40" spans="1:11" x14ac:dyDescent="0.25">
      <c r="A40"/>
      <c r="B40" t="s">
        <v>508</v>
      </c>
      <c r="C40"/>
      <c r="D40"/>
      <c r="E40"/>
      <c r="F40" t="s">
        <v>508</v>
      </c>
      <c r="G40"/>
      <c r="H40" s="68">
        <v>706</v>
      </c>
      <c r="I40" t="s">
        <v>509</v>
      </c>
      <c r="J40"/>
      <c r="K40"/>
    </row>
    <row r="41" spans="1:11" x14ac:dyDescent="0.25">
      <c r="A41"/>
      <c r="B41" t="s">
        <v>502</v>
      </c>
      <c r="C41"/>
      <c r="D41"/>
      <c r="E41"/>
      <c r="F41" t="s">
        <v>502</v>
      </c>
      <c r="G41"/>
      <c r="H41"/>
      <c r="I41" t="s">
        <v>510</v>
      </c>
      <c r="J41"/>
      <c r="K41" s="68">
        <v>12</v>
      </c>
    </row>
    <row r="42" spans="1:11" x14ac:dyDescent="0.25">
      <c r="A42"/>
      <c r="B42" t="s">
        <v>511</v>
      </c>
      <c r="C42"/>
      <c r="D42"/>
      <c r="E42"/>
      <c r="F42" t="s">
        <v>512</v>
      </c>
      <c r="G42"/>
      <c r="H42" s="68">
        <v>12</v>
      </c>
      <c r="I42" s="4" t="s">
        <v>513</v>
      </c>
      <c r="J42"/>
      <c r="K42" s="70">
        <v>2</v>
      </c>
    </row>
    <row r="47" spans="1:11" x14ac:dyDescent="0.25">
      <c r="A47" s="84" t="s">
        <v>17</v>
      </c>
      <c r="B47" s="84" t="s">
        <v>18</v>
      </c>
    </row>
    <row r="49" spans="1:13" x14ac:dyDescent="0.25">
      <c r="A49"/>
      <c r="B49" s="4" t="s">
        <v>514</v>
      </c>
      <c r="C49" s="1"/>
      <c r="D49" s="1"/>
      <c r="E49" s="1"/>
      <c r="F49" s="1"/>
      <c r="G49" s="86"/>
      <c r="H49" s="86"/>
      <c r="I49" s="86"/>
      <c r="J49" s="86"/>
      <c r="K49" s="86"/>
      <c r="L49" s="86"/>
      <c r="M49" s="86"/>
    </row>
    <row r="50" spans="1:13" x14ac:dyDescent="0.25">
      <c r="A50"/>
      <c r="B50" s="1" t="s">
        <v>515</v>
      </c>
      <c r="C50" s="1"/>
      <c r="D50" s="1"/>
      <c r="E50" s="1"/>
      <c r="F50" s="1"/>
      <c r="G50" s="86"/>
      <c r="H50" s="86"/>
      <c r="I50" s="86"/>
      <c r="J50" s="86"/>
      <c r="K50" s="86"/>
      <c r="L50" s="86"/>
      <c r="M50" s="86"/>
    </row>
    <row r="51" spans="1:13" x14ac:dyDescent="0.25">
      <c r="A51"/>
      <c r="B51" s="1" t="s">
        <v>502</v>
      </c>
      <c r="C51" s="1"/>
      <c r="D51" s="1"/>
      <c r="E51" s="1"/>
      <c r="F51" s="1"/>
      <c r="G51" s="86"/>
      <c r="H51" s="86"/>
      <c r="I51" s="86"/>
      <c r="J51" s="86"/>
      <c r="K51" s="86"/>
      <c r="L51" s="86"/>
      <c r="M51" s="86"/>
    </row>
    <row r="52" spans="1:13" x14ac:dyDescent="0.25">
      <c r="A52"/>
      <c r="B52" s="1" t="s">
        <v>516</v>
      </c>
      <c r="C52"/>
      <c r="D52"/>
      <c r="E52"/>
      <c r="F52"/>
    </row>
    <row r="57" spans="1:13" x14ac:dyDescent="0.25">
      <c r="A57" s="84" t="s">
        <v>20</v>
      </c>
      <c r="B57" s="84" t="s">
        <v>21</v>
      </c>
    </row>
    <row r="59" spans="1:13" x14ac:dyDescent="0.25">
      <c r="A59"/>
      <c r="B59" s="4" t="s">
        <v>517</v>
      </c>
      <c r="C59"/>
      <c r="D59"/>
      <c r="E59"/>
      <c r="F59" s="4" t="s">
        <v>518</v>
      </c>
      <c r="G59"/>
      <c r="H59"/>
      <c r="I59" s="4" t="s">
        <v>507</v>
      </c>
      <c r="J59"/>
      <c r="K59"/>
    </row>
    <row r="60" spans="1:13" x14ac:dyDescent="0.25">
      <c r="A60"/>
      <c r="B60" t="s">
        <v>515</v>
      </c>
      <c r="C60"/>
      <c r="D60"/>
      <c r="E60"/>
      <c r="F60" t="s">
        <v>519</v>
      </c>
      <c r="G60"/>
      <c r="H60"/>
      <c r="I60" t="s">
        <v>520</v>
      </c>
      <c r="J60"/>
      <c r="K60"/>
    </row>
    <row r="61" spans="1:13" x14ac:dyDescent="0.25">
      <c r="A61"/>
      <c r="B61" t="s">
        <v>502</v>
      </c>
      <c r="C61"/>
      <c r="D61"/>
      <c r="E61"/>
      <c r="F61" t="s">
        <v>502</v>
      </c>
      <c r="G61"/>
      <c r="H61"/>
      <c r="I61" t="s">
        <v>521</v>
      </c>
      <c r="J61"/>
      <c r="K61"/>
    </row>
    <row r="62" spans="1:13" x14ac:dyDescent="0.25">
      <c r="A62"/>
      <c r="B62" t="s">
        <v>516</v>
      </c>
      <c r="C62"/>
      <c r="D62"/>
      <c r="E62"/>
      <c r="F62" t="s">
        <v>522</v>
      </c>
      <c r="G62"/>
      <c r="H62"/>
      <c r="I62" s="4" t="s">
        <v>523</v>
      </c>
      <c r="J62"/>
      <c r="K62"/>
    </row>
    <row r="65" spans="1:13" x14ac:dyDescent="0.25">
      <c r="B65" s="86"/>
      <c r="C65" s="86"/>
      <c r="D65" s="86"/>
      <c r="E65" s="86"/>
      <c r="F65" s="86"/>
      <c r="G65" s="86"/>
      <c r="H65" s="86"/>
      <c r="I65" s="86"/>
      <c r="J65" s="86"/>
      <c r="K65" s="86"/>
      <c r="L65" s="86"/>
      <c r="M65" s="86"/>
    </row>
    <row r="66" spans="1:13" x14ac:dyDescent="0.25">
      <c r="B66" s="86"/>
      <c r="C66" s="86"/>
      <c r="D66" s="86"/>
      <c r="E66" s="86"/>
      <c r="F66" s="86"/>
      <c r="G66" s="86"/>
      <c r="H66" s="86"/>
      <c r="I66" s="86"/>
      <c r="J66" s="86"/>
      <c r="K66" s="86"/>
      <c r="L66" s="86"/>
      <c r="M66" s="86"/>
    </row>
    <row r="67" spans="1:13" x14ac:dyDescent="0.25">
      <c r="A67" s="84" t="s">
        <v>22</v>
      </c>
      <c r="B67" s="84" t="s">
        <v>23</v>
      </c>
    </row>
    <row r="68" spans="1:13" ht="40.5" customHeight="1" x14ac:dyDescent="0.25">
      <c r="B68" s="459" t="s">
        <v>24</v>
      </c>
      <c r="C68" s="459"/>
      <c r="D68" s="459"/>
      <c r="E68" s="459"/>
      <c r="F68" s="459"/>
      <c r="G68" s="459"/>
      <c r="H68" s="459"/>
      <c r="I68" s="459"/>
      <c r="J68" s="459"/>
      <c r="K68" s="459"/>
      <c r="L68" s="86"/>
      <c r="M68" s="86"/>
    </row>
    <row r="69" spans="1:13" x14ac:dyDescent="0.25">
      <c r="B69" s="88"/>
      <c r="C69" s="88"/>
      <c r="D69" s="88"/>
      <c r="E69" s="88"/>
      <c r="F69" s="88"/>
      <c r="G69" s="88"/>
      <c r="H69" s="88"/>
      <c r="I69" s="88"/>
      <c r="J69" s="88"/>
      <c r="K69" s="88"/>
      <c r="L69" s="86"/>
      <c r="M69" s="86"/>
    </row>
    <row r="70" spans="1:13" x14ac:dyDescent="0.25">
      <c r="A70"/>
      <c r="B70" s="324" t="s">
        <v>524</v>
      </c>
      <c r="C70" s="2"/>
      <c r="D70" s="2"/>
      <c r="E70" s="2"/>
      <c r="F70" s="2"/>
      <c r="G70" s="88"/>
      <c r="H70" s="88"/>
      <c r="I70" s="88"/>
      <c r="J70" s="88"/>
      <c r="K70" s="88"/>
      <c r="L70" s="86"/>
      <c r="M70" s="86"/>
    </row>
    <row r="71" spans="1:13" x14ac:dyDescent="0.25">
      <c r="A71"/>
      <c r="B71" t="s">
        <v>525</v>
      </c>
      <c r="C71"/>
      <c r="D71"/>
      <c r="E71"/>
      <c r="F71"/>
    </row>
    <row r="72" spans="1:13" x14ac:dyDescent="0.25">
      <c r="A72"/>
      <c r="B72" t="s">
        <v>502</v>
      </c>
      <c r="C72"/>
      <c r="D72"/>
      <c r="E72"/>
      <c r="F72"/>
    </row>
    <row r="73" spans="1:13" x14ac:dyDescent="0.25">
      <c r="A73"/>
      <c r="B73" t="s">
        <v>526</v>
      </c>
      <c r="C73"/>
      <c r="D73"/>
      <c r="E73"/>
      <c r="F73"/>
    </row>
    <row r="78" spans="1:13" x14ac:dyDescent="0.25">
      <c r="B78" s="86"/>
      <c r="C78" s="86"/>
      <c r="D78" s="86"/>
      <c r="E78" s="86"/>
      <c r="F78" s="86"/>
      <c r="G78" s="86"/>
      <c r="H78" s="86"/>
      <c r="I78" s="86"/>
      <c r="J78" s="86"/>
      <c r="K78" s="86"/>
      <c r="L78" s="86"/>
      <c r="M78" s="86"/>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sheetData>
  <mergeCells count="3">
    <mergeCell ref="A1:I1"/>
    <mergeCell ref="A3:K6"/>
    <mergeCell ref="B68:K68"/>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ED242-7735-46F5-8E96-9426D2F43953}">
  <dimension ref="A1:L101"/>
  <sheetViews>
    <sheetView workbookViewId="0">
      <selection sqref="A1:E1"/>
    </sheetView>
  </sheetViews>
  <sheetFormatPr defaultColWidth="9.140625" defaultRowHeight="15" x14ac:dyDescent="0.25"/>
  <cols>
    <col min="1" max="1" width="84.42578125" style="9" bestFit="1" customWidth="1"/>
    <col min="2" max="5" width="9.140625" style="9"/>
    <col min="6" max="6" width="4.28515625" style="9" customWidth="1"/>
    <col min="7" max="7" width="16" style="9" bestFit="1" customWidth="1"/>
    <col min="8" max="16384" width="9.140625" style="9"/>
  </cols>
  <sheetData>
    <row r="1" spans="1:12" ht="39.75" customHeight="1" x14ac:dyDescent="0.35">
      <c r="A1" s="457" t="s">
        <v>1455</v>
      </c>
      <c r="B1" s="457"/>
      <c r="C1" s="457"/>
      <c r="D1" s="457"/>
      <c r="E1" s="457"/>
      <c r="F1" s="309"/>
      <c r="G1" s="309"/>
      <c r="H1" s="309"/>
      <c r="I1" s="309"/>
      <c r="J1" s="84"/>
      <c r="K1" s="84"/>
      <c r="L1" s="11"/>
    </row>
    <row r="2" spans="1:12" ht="39.75" customHeight="1" x14ac:dyDescent="0.35">
      <c r="A2" s="83"/>
      <c r="B2" s="83"/>
      <c r="C2" s="83"/>
      <c r="D2" s="83"/>
      <c r="E2" s="83"/>
      <c r="F2" s="83"/>
      <c r="G2" s="83"/>
      <c r="H2" s="83"/>
      <c r="I2" s="83"/>
      <c r="J2" s="84"/>
      <c r="K2" s="84"/>
      <c r="L2" s="11"/>
    </row>
    <row r="3" spans="1:12" ht="15" customHeight="1" x14ac:dyDescent="0.25">
      <c r="A3" s="501" t="s">
        <v>1068</v>
      </c>
      <c r="B3" s="501"/>
      <c r="C3" s="501"/>
      <c r="D3" s="501"/>
      <c r="E3" s="501"/>
      <c r="F3" s="85"/>
      <c r="G3" s="85"/>
      <c r="H3" s="85"/>
      <c r="I3" s="85"/>
      <c r="J3" s="85"/>
      <c r="K3" s="85"/>
    </row>
    <row r="4" spans="1:12" x14ac:dyDescent="0.25">
      <c r="A4" s="501"/>
      <c r="B4" s="501"/>
      <c r="C4" s="501"/>
      <c r="D4" s="501"/>
      <c r="E4" s="501"/>
      <c r="F4" s="85"/>
      <c r="G4" s="85"/>
      <c r="H4" s="85"/>
      <c r="I4" s="85"/>
      <c r="J4" s="85"/>
      <c r="K4" s="85"/>
    </row>
    <row r="5" spans="1:12" x14ac:dyDescent="0.25">
      <c r="A5" s="501"/>
      <c r="B5" s="501"/>
      <c r="C5" s="501"/>
      <c r="D5" s="501"/>
      <c r="E5" s="501"/>
      <c r="F5" s="85"/>
      <c r="G5" s="85"/>
      <c r="H5" s="85"/>
      <c r="I5" s="85"/>
      <c r="J5" s="85"/>
      <c r="K5" s="85"/>
    </row>
    <row r="6" spans="1:12" x14ac:dyDescent="0.25">
      <c r="A6" s="85"/>
      <c r="B6" s="85"/>
      <c r="C6" s="85"/>
      <c r="D6" s="85"/>
      <c r="E6" s="85"/>
      <c r="F6" s="85"/>
      <c r="G6" s="85"/>
      <c r="H6" s="85"/>
      <c r="I6" s="85"/>
      <c r="J6" s="85"/>
      <c r="K6" s="85"/>
    </row>
    <row r="7" spans="1:12" x14ac:dyDescent="0.25">
      <c r="A7" s="43"/>
      <c r="B7" s="43"/>
      <c r="C7" s="43"/>
      <c r="D7" s="43"/>
      <c r="E7" s="43"/>
      <c r="F7" s="43"/>
      <c r="G7" s="43"/>
      <c r="H7" s="43"/>
      <c r="I7" s="43"/>
    </row>
    <row r="8" spans="1:12" x14ac:dyDescent="0.25">
      <c r="A8" s="43" t="s">
        <v>1430</v>
      </c>
      <c r="B8" s="43"/>
      <c r="C8" s="43"/>
      <c r="D8" s="43"/>
      <c r="E8" s="43"/>
      <c r="F8" s="43"/>
      <c r="G8" s="43"/>
      <c r="H8" s="43"/>
      <c r="I8" s="43"/>
    </row>
    <row r="9" spans="1:12" x14ac:dyDescent="0.25">
      <c r="A9" s="43" t="s">
        <v>1029</v>
      </c>
      <c r="B9" s="43"/>
      <c r="C9" s="43"/>
      <c r="D9" s="43"/>
      <c r="E9" s="43"/>
      <c r="F9" s="43"/>
      <c r="G9" s="43"/>
      <c r="H9" s="43"/>
      <c r="I9" s="43"/>
    </row>
    <row r="10" spans="1:12" x14ac:dyDescent="0.25">
      <c r="A10" s="43" t="s">
        <v>1431</v>
      </c>
      <c r="B10" s="43"/>
      <c r="C10" s="43"/>
      <c r="D10" s="43"/>
      <c r="E10" s="62"/>
      <c r="F10" s="43"/>
      <c r="G10" s="43"/>
      <c r="H10" s="43"/>
      <c r="I10" s="43"/>
    </row>
    <row r="11" spans="1:12" x14ac:dyDescent="0.25">
      <c r="A11" s="43" t="s">
        <v>1432</v>
      </c>
      <c r="B11" s="43"/>
      <c r="C11" s="43"/>
      <c r="D11" s="43"/>
      <c r="E11" s="43"/>
      <c r="F11" s="43"/>
      <c r="G11" s="43"/>
      <c r="H11" s="43"/>
      <c r="I11" s="43"/>
    </row>
    <row r="12" spans="1:12" x14ac:dyDescent="0.25">
      <c r="A12" s="43" t="s">
        <v>1433</v>
      </c>
      <c r="B12" s="43"/>
      <c r="C12" s="63"/>
      <c r="D12" s="43"/>
      <c r="E12" s="64"/>
      <c r="F12" s="43"/>
      <c r="G12" s="43"/>
      <c r="H12" s="43"/>
      <c r="I12" s="43"/>
    </row>
    <row r="13" spans="1:12" x14ac:dyDescent="0.25">
      <c r="A13" s="43"/>
      <c r="B13" s="43"/>
      <c r="C13" s="63"/>
      <c r="D13" s="43"/>
      <c r="E13" s="64"/>
      <c r="F13" s="43"/>
      <c r="G13" s="43"/>
      <c r="H13" s="43"/>
      <c r="I13" s="43"/>
    </row>
    <row r="14" spans="1:12" x14ac:dyDescent="0.25">
      <c r="A14" s="43" t="s">
        <v>1434</v>
      </c>
      <c r="B14" s="43"/>
      <c r="C14" s="43"/>
      <c r="D14" s="43"/>
      <c r="E14" s="43"/>
      <c r="F14" s="43"/>
      <c r="G14" s="43"/>
      <c r="H14" s="43"/>
      <c r="I14" s="43"/>
    </row>
    <row r="15" spans="1:12" x14ac:dyDescent="0.25">
      <c r="A15" s="43" t="s">
        <v>1029</v>
      </c>
      <c r="B15" s="43"/>
      <c r="C15" s="43"/>
      <c r="D15" s="43"/>
      <c r="E15" s="43"/>
      <c r="F15" s="43"/>
      <c r="G15" s="43"/>
      <c r="H15" s="43"/>
      <c r="I15" s="43"/>
    </row>
    <row r="16" spans="1:12" x14ac:dyDescent="0.25">
      <c r="A16" s="43" t="s">
        <v>1431</v>
      </c>
      <c r="B16" s="43"/>
      <c r="C16" s="43"/>
      <c r="D16" s="43"/>
      <c r="E16" s="43"/>
      <c r="F16" s="43"/>
      <c r="G16" s="43"/>
      <c r="H16" s="43"/>
      <c r="I16" s="43"/>
    </row>
    <row r="17" spans="1:9" x14ac:dyDescent="0.25">
      <c r="A17" s="43" t="s">
        <v>1432</v>
      </c>
      <c r="B17" s="43"/>
      <c r="C17" s="43"/>
      <c r="D17" s="43"/>
      <c r="E17" s="43"/>
      <c r="F17" s="43"/>
      <c r="G17" s="43"/>
      <c r="H17" s="43"/>
      <c r="I17" s="43"/>
    </row>
    <row r="18" spans="1:9" x14ac:dyDescent="0.25">
      <c r="A18" s="43" t="s">
        <v>1433</v>
      </c>
      <c r="B18" s="43"/>
      <c r="C18" s="43"/>
      <c r="D18" s="43"/>
      <c r="E18" s="43"/>
      <c r="F18" s="43"/>
      <c r="G18" s="43"/>
      <c r="H18" s="43"/>
      <c r="I18" s="43"/>
    </row>
    <row r="19" spans="1:9" x14ac:dyDescent="0.25">
      <c r="A19" s="43"/>
      <c r="B19" s="43"/>
      <c r="C19" s="43"/>
      <c r="D19" s="43"/>
      <c r="E19" s="43"/>
      <c r="F19" s="43"/>
      <c r="G19" s="43"/>
      <c r="H19" s="43"/>
      <c r="I19" s="43"/>
    </row>
    <row r="20" spans="1:9" x14ac:dyDescent="0.25">
      <c r="A20" s="43" t="s">
        <v>1435</v>
      </c>
      <c r="B20" s="43"/>
      <c r="C20" s="43"/>
      <c r="D20" s="43"/>
      <c r="E20" s="43"/>
      <c r="F20" s="43"/>
      <c r="G20" s="43"/>
      <c r="H20" s="43"/>
      <c r="I20" s="43"/>
    </row>
    <row r="21" spans="1:9" x14ac:dyDescent="0.25">
      <c r="A21" s="43" t="s">
        <v>1436</v>
      </c>
      <c r="B21" s="43"/>
      <c r="C21" s="43"/>
      <c r="D21" s="43"/>
      <c r="E21" s="43"/>
      <c r="F21" s="43"/>
      <c r="G21" s="43"/>
      <c r="H21" s="43"/>
      <c r="I21" s="43"/>
    </row>
    <row r="22" spans="1:9" x14ac:dyDescent="0.25">
      <c r="A22" s="43" t="s">
        <v>1437</v>
      </c>
      <c r="B22" s="43"/>
      <c r="C22" s="43"/>
      <c r="D22" s="43"/>
      <c r="E22" s="43"/>
      <c r="F22" s="43"/>
      <c r="G22" s="43"/>
      <c r="H22" s="43"/>
      <c r="I22" s="43"/>
    </row>
    <row r="23" spans="1:9" x14ac:dyDescent="0.25">
      <c r="A23" s="43" t="s">
        <v>1438</v>
      </c>
      <c r="B23" s="43"/>
      <c r="C23" s="43"/>
      <c r="D23" s="43"/>
      <c r="E23" s="62"/>
      <c r="F23" s="43"/>
      <c r="G23" s="43"/>
      <c r="H23" s="43"/>
      <c r="I23" s="43"/>
    </row>
    <row r="24" spans="1:9" x14ac:dyDescent="0.25">
      <c r="A24" s="43" t="s">
        <v>1439</v>
      </c>
      <c r="B24" s="43"/>
      <c r="C24" s="43"/>
      <c r="D24" s="43"/>
      <c r="E24" s="43"/>
      <c r="F24" s="43"/>
      <c r="G24" s="43"/>
      <c r="H24" s="43"/>
      <c r="I24" s="43"/>
    </row>
    <row r="25" spans="1:9" x14ac:dyDescent="0.25">
      <c r="A25" s="43" t="s">
        <v>1440</v>
      </c>
      <c r="B25" s="43"/>
      <c r="C25" s="63"/>
      <c r="D25" s="43"/>
      <c r="E25" s="64"/>
      <c r="F25" s="43"/>
      <c r="G25" s="43"/>
      <c r="H25" s="43"/>
      <c r="I25" s="43"/>
    </row>
    <row r="26" spans="1:9" x14ac:dyDescent="0.25">
      <c r="A26" s="43" t="s">
        <v>1064</v>
      </c>
      <c r="B26" s="43"/>
      <c r="C26" s="63"/>
      <c r="D26" s="43"/>
      <c r="E26" s="65"/>
      <c r="F26" s="43"/>
      <c r="G26" s="43"/>
      <c r="H26" s="43"/>
      <c r="I26" s="43"/>
    </row>
    <row r="27" spans="1:9" x14ac:dyDescent="0.25">
      <c r="A27" s="43"/>
      <c r="B27" s="43"/>
      <c r="C27" s="63"/>
      <c r="D27" s="43"/>
      <c r="E27" s="65"/>
      <c r="F27" s="43"/>
      <c r="G27" s="43"/>
      <c r="H27" s="43"/>
      <c r="I27" s="43"/>
    </row>
    <row r="28" spans="1:9" x14ac:dyDescent="0.25">
      <c r="A28" s="43" t="s">
        <v>1441</v>
      </c>
      <c r="B28" s="43"/>
      <c r="C28" s="43"/>
      <c r="D28" s="43"/>
      <c r="E28" s="43"/>
      <c r="F28" s="43"/>
      <c r="G28" s="43"/>
      <c r="H28" s="43"/>
      <c r="I28" s="43"/>
    </row>
    <row r="29" spans="1:9" x14ac:dyDescent="0.25">
      <c r="A29" s="43" t="s">
        <v>1030</v>
      </c>
      <c r="B29" s="43"/>
      <c r="C29" s="43"/>
      <c r="D29" s="43"/>
      <c r="E29" s="43"/>
      <c r="F29" s="43"/>
      <c r="G29" s="43"/>
      <c r="H29" s="43"/>
      <c r="I29" s="43"/>
    </row>
    <row r="30" spans="1:9" x14ac:dyDescent="0.25">
      <c r="A30" s="43" t="s">
        <v>1442</v>
      </c>
      <c r="B30" s="43"/>
      <c r="C30" s="43"/>
      <c r="D30" s="43"/>
      <c r="E30" s="43"/>
      <c r="F30" s="43"/>
      <c r="G30" s="43"/>
      <c r="H30" s="43"/>
      <c r="I30" s="43"/>
    </row>
    <row r="31" spans="1:9" x14ac:dyDescent="0.25">
      <c r="A31" s="43" t="s">
        <v>1432</v>
      </c>
      <c r="B31" s="43"/>
      <c r="C31" s="43"/>
      <c r="D31" s="43"/>
      <c r="E31" s="43"/>
      <c r="F31" s="43"/>
      <c r="G31" s="43"/>
      <c r="H31" s="43"/>
      <c r="I31" s="43"/>
    </row>
    <row r="32" spans="1:9" x14ac:dyDescent="0.25">
      <c r="A32" s="43" t="s">
        <v>1443</v>
      </c>
      <c r="B32" s="43"/>
      <c r="C32" s="43"/>
      <c r="D32" s="43"/>
      <c r="E32" s="43"/>
      <c r="F32" s="43"/>
      <c r="G32" s="43"/>
      <c r="H32" s="43"/>
      <c r="I32" s="43"/>
    </row>
    <row r="33" spans="1:9" x14ac:dyDescent="0.25">
      <c r="A33" s="43"/>
      <c r="B33" s="43"/>
      <c r="C33" s="43"/>
      <c r="D33" s="43"/>
      <c r="E33" s="43"/>
      <c r="F33" s="43"/>
      <c r="G33" s="43"/>
      <c r="H33" s="43"/>
      <c r="I33" s="43"/>
    </row>
    <row r="34" spans="1:9" x14ac:dyDescent="0.25">
      <c r="A34" s="43" t="s">
        <v>1444</v>
      </c>
      <c r="B34" s="43"/>
      <c r="C34" s="43"/>
      <c r="D34" s="43"/>
      <c r="E34" s="43"/>
      <c r="F34" s="43"/>
      <c r="G34" s="43"/>
      <c r="H34" s="43"/>
      <c r="I34" s="43"/>
    </row>
    <row r="35" spans="1:9" x14ac:dyDescent="0.25">
      <c r="A35" s="43" t="s">
        <v>1445</v>
      </c>
      <c r="B35" s="43"/>
      <c r="C35" s="43"/>
      <c r="D35" s="43"/>
      <c r="E35" s="43"/>
      <c r="F35" s="43"/>
      <c r="G35" s="43"/>
      <c r="H35" s="43"/>
      <c r="I35" s="43"/>
    </row>
    <row r="36" spans="1:9" x14ac:dyDescent="0.25">
      <c r="A36" s="43" t="s">
        <v>1446</v>
      </c>
      <c r="B36" s="43"/>
      <c r="C36" s="43"/>
      <c r="D36" s="43"/>
      <c r="E36" s="43"/>
      <c r="F36" s="43"/>
      <c r="G36" s="43"/>
      <c r="H36" s="43"/>
      <c r="I36" s="43"/>
    </row>
    <row r="37" spans="1:9" x14ac:dyDescent="0.25">
      <c r="A37" s="43" t="s">
        <v>1447</v>
      </c>
      <c r="B37" s="43"/>
      <c r="C37" s="43"/>
      <c r="D37" s="43"/>
      <c r="E37" s="43"/>
      <c r="F37" s="62"/>
      <c r="G37" s="43"/>
      <c r="H37" s="43"/>
      <c r="I37" s="43"/>
    </row>
    <row r="38" spans="1:9" x14ac:dyDescent="0.25">
      <c r="A38" s="43" t="s">
        <v>1448</v>
      </c>
      <c r="B38" s="43"/>
      <c r="C38" s="43"/>
      <c r="D38" s="43"/>
      <c r="E38" s="43"/>
      <c r="F38" s="62"/>
      <c r="G38" s="43"/>
      <c r="H38" s="43"/>
      <c r="I38" s="43"/>
    </row>
    <row r="39" spans="1:9" x14ac:dyDescent="0.25">
      <c r="A39" s="43" t="s">
        <v>1432</v>
      </c>
      <c r="B39" s="43"/>
      <c r="C39" s="43"/>
      <c r="D39" s="43"/>
      <c r="E39" s="43"/>
      <c r="F39" s="62"/>
      <c r="G39" s="43"/>
      <c r="H39" s="43"/>
      <c r="I39" s="43"/>
    </row>
    <row r="40" spans="1:9" x14ac:dyDescent="0.25">
      <c r="A40" s="43" t="s">
        <v>1449</v>
      </c>
      <c r="B40" s="43"/>
      <c r="C40" s="63"/>
      <c r="D40" s="63"/>
      <c r="E40" s="63"/>
      <c r="F40" s="64"/>
      <c r="G40" s="43"/>
      <c r="H40" s="43"/>
      <c r="I40" s="43"/>
    </row>
    <row r="41" spans="1:9" x14ac:dyDescent="0.25">
      <c r="A41" s="43"/>
      <c r="B41" s="43"/>
      <c r="C41" s="63"/>
      <c r="D41" s="63"/>
      <c r="E41" s="63"/>
      <c r="F41" s="64"/>
      <c r="G41" s="43"/>
      <c r="H41" s="43"/>
      <c r="I41" s="43"/>
    </row>
    <row r="42" spans="1:9" x14ac:dyDescent="0.25">
      <c r="A42" s="43" t="s">
        <v>1450</v>
      </c>
      <c r="B42" s="43"/>
      <c r="C42" s="63"/>
      <c r="D42" s="63"/>
      <c r="E42" s="63"/>
      <c r="F42" s="65"/>
      <c r="G42" s="43"/>
      <c r="H42" s="43"/>
      <c r="I42" s="43"/>
    </row>
    <row r="43" spans="1:9" x14ac:dyDescent="0.25">
      <c r="A43" s="43" t="s">
        <v>1451</v>
      </c>
      <c r="B43" s="43"/>
      <c r="C43" s="63"/>
      <c r="D43" s="63"/>
      <c r="E43" s="63"/>
      <c r="F43" s="65"/>
      <c r="G43" s="43"/>
      <c r="H43" s="43"/>
      <c r="I43" s="43"/>
    </row>
    <row r="44" spans="1:9" x14ac:dyDescent="0.25">
      <c r="A44" s="43" t="s">
        <v>1031</v>
      </c>
      <c r="B44" s="43"/>
      <c r="C44" s="63"/>
      <c r="D44" s="63"/>
      <c r="E44" s="63"/>
      <c r="F44" s="65"/>
      <c r="G44" s="43"/>
      <c r="H44" s="43"/>
      <c r="I44" s="43"/>
    </row>
    <row r="45" spans="1:9" x14ac:dyDescent="0.25">
      <c r="A45" s="43" t="s">
        <v>1452</v>
      </c>
      <c r="B45" s="43"/>
      <c r="C45" s="43"/>
      <c r="D45" s="43"/>
      <c r="E45" s="43"/>
      <c r="F45" s="43"/>
      <c r="G45" s="43"/>
      <c r="H45" s="43"/>
      <c r="I45" s="43"/>
    </row>
    <row r="46" spans="1:9" x14ac:dyDescent="0.25">
      <c r="A46" s="43" t="s">
        <v>1453</v>
      </c>
      <c r="B46" s="43"/>
      <c r="C46" s="43"/>
      <c r="D46" s="43"/>
      <c r="E46" s="43"/>
      <c r="F46" s="43"/>
      <c r="G46" s="43"/>
      <c r="H46" s="43"/>
      <c r="I46" s="43"/>
    </row>
    <row r="47" spans="1:9" x14ac:dyDescent="0.25">
      <c r="A47" s="43" t="s">
        <v>1454</v>
      </c>
      <c r="B47" s="43"/>
      <c r="C47" s="43"/>
      <c r="D47" s="43"/>
      <c r="E47" s="43"/>
      <c r="F47" s="43"/>
      <c r="G47" s="43"/>
      <c r="H47" s="43"/>
      <c r="I47" s="43"/>
    </row>
    <row r="48" spans="1:9" x14ac:dyDescent="0.25">
      <c r="A48" s="43"/>
      <c r="B48" s="43"/>
      <c r="C48" s="43"/>
      <c r="D48" s="43"/>
      <c r="E48" s="43"/>
      <c r="F48" s="43"/>
      <c r="G48" s="43"/>
      <c r="H48" s="14"/>
      <c r="I48" s="14"/>
    </row>
    <row r="49" spans="1:9" x14ac:dyDescent="0.25">
      <c r="A49" s="43"/>
      <c r="B49" s="43"/>
      <c r="C49" s="43"/>
      <c r="D49" s="43"/>
      <c r="E49" s="43"/>
      <c r="F49" s="43"/>
      <c r="G49" s="43"/>
      <c r="H49" s="14"/>
      <c r="I49" s="14"/>
    </row>
    <row r="50" spans="1:9" x14ac:dyDescent="0.25">
      <c r="A50" s="43"/>
      <c r="B50" s="43"/>
      <c r="C50" s="43"/>
      <c r="D50" s="43"/>
      <c r="E50" s="62"/>
      <c r="F50" s="43"/>
      <c r="G50" s="43"/>
      <c r="H50" s="14"/>
      <c r="I50" s="14"/>
    </row>
    <row r="51" spans="1:9" x14ac:dyDescent="0.25">
      <c r="A51" s="43"/>
      <c r="B51" s="43"/>
      <c r="C51" s="43"/>
      <c r="D51" s="43"/>
      <c r="E51" s="43"/>
      <c r="F51" s="43"/>
      <c r="G51" s="43"/>
      <c r="H51" s="43"/>
      <c r="I51" s="43"/>
    </row>
    <row r="52" spans="1:9" x14ac:dyDescent="0.25">
      <c r="A52" s="43"/>
      <c r="B52" s="43"/>
      <c r="C52" s="63"/>
      <c r="D52" s="43"/>
      <c r="E52" s="64"/>
      <c r="F52" s="43"/>
      <c r="G52" s="43"/>
      <c r="H52" s="43"/>
      <c r="I52" s="43"/>
    </row>
    <row r="53" spans="1:9" x14ac:dyDescent="0.25">
      <c r="A53" s="43"/>
      <c r="B53" s="43"/>
      <c r="C53" s="63"/>
      <c r="D53" s="43"/>
      <c r="E53" s="65"/>
      <c r="F53" s="43"/>
      <c r="G53" s="43"/>
      <c r="H53" s="43"/>
      <c r="I53" s="43"/>
    </row>
    <row r="54" spans="1:9" x14ac:dyDescent="0.25">
      <c r="A54" s="43"/>
      <c r="B54" s="43"/>
      <c r="C54" s="43"/>
      <c r="D54" s="43"/>
      <c r="E54" s="43"/>
      <c r="F54" s="43"/>
      <c r="G54" s="43"/>
      <c r="H54" s="43"/>
      <c r="I54" s="43"/>
    </row>
    <row r="55" spans="1:9" x14ac:dyDescent="0.25">
      <c r="A55" s="43"/>
      <c r="B55" s="43"/>
      <c r="C55" s="43"/>
      <c r="D55" s="43"/>
      <c r="E55" s="43"/>
      <c r="F55" s="43"/>
      <c r="G55" s="43"/>
      <c r="H55" s="43"/>
      <c r="I55" s="43"/>
    </row>
    <row r="56" spans="1:9" x14ac:dyDescent="0.25">
      <c r="A56" s="43"/>
      <c r="B56" s="43"/>
      <c r="C56" s="43"/>
      <c r="D56" s="43"/>
      <c r="E56" s="43"/>
      <c r="F56" s="43"/>
      <c r="G56" s="43"/>
      <c r="H56" s="43"/>
      <c r="I56" s="43"/>
    </row>
    <row r="57" spans="1:9" x14ac:dyDescent="0.25">
      <c r="A57" s="43"/>
      <c r="B57" s="43"/>
      <c r="C57" s="43"/>
      <c r="D57" s="43"/>
      <c r="E57" s="43"/>
      <c r="F57" s="43"/>
      <c r="G57" s="43"/>
      <c r="H57" s="43"/>
      <c r="I57" s="43"/>
    </row>
    <row r="58" spans="1:9" x14ac:dyDescent="0.25">
      <c r="A58" s="43"/>
      <c r="B58" s="43"/>
      <c r="C58" s="43"/>
      <c r="D58" s="43"/>
      <c r="E58" s="43"/>
      <c r="F58" s="43"/>
      <c r="G58" s="43"/>
      <c r="H58" s="43"/>
      <c r="I58" s="43"/>
    </row>
    <row r="59" spans="1:9" x14ac:dyDescent="0.25">
      <c r="A59" s="43"/>
      <c r="B59" s="43"/>
      <c r="C59" s="43"/>
      <c r="D59" s="43"/>
      <c r="E59" s="43"/>
      <c r="F59" s="43"/>
      <c r="G59" s="43"/>
      <c r="H59" s="43"/>
      <c r="I59" s="43"/>
    </row>
    <row r="60" spans="1:9" x14ac:dyDescent="0.25">
      <c r="A60" s="43"/>
      <c r="B60" s="43"/>
      <c r="C60" s="43"/>
      <c r="D60" s="43"/>
      <c r="E60" s="43"/>
      <c r="F60" s="43"/>
      <c r="G60" s="43"/>
      <c r="H60" s="43"/>
      <c r="I60" s="43"/>
    </row>
    <row r="61" spans="1:9" ht="15.75" x14ac:dyDescent="0.25">
      <c r="A61" s="43"/>
      <c r="B61" s="43"/>
      <c r="C61" s="43"/>
      <c r="D61" s="43"/>
      <c r="E61" s="43"/>
      <c r="F61" s="43"/>
      <c r="G61" s="62"/>
      <c r="H61" s="11"/>
      <c r="I61" s="43"/>
    </row>
    <row r="62" spans="1:9" ht="15.75" x14ac:dyDescent="0.25">
      <c r="A62" s="43"/>
      <c r="B62" s="43"/>
      <c r="C62" s="43"/>
      <c r="D62" s="43"/>
      <c r="E62" s="43"/>
      <c r="F62" s="43"/>
      <c r="G62" s="62"/>
      <c r="H62" s="11"/>
      <c r="I62" s="43"/>
    </row>
    <row r="63" spans="1:9" x14ac:dyDescent="0.25">
      <c r="A63" s="43"/>
      <c r="B63" s="43"/>
      <c r="C63" s="43"/>
      <c r="D63" s="43"/>
      <c r="E63" s="43"/>
      <c r="F63" s="43"/>
      <c r="G63" s="62"/>
      <c r="H63" s="43"/>
      <c r="I63" s="43"/>
    </row>
    <row r="64" spans="1:9" x14ac:dyDescent="0.25">
      <c r="A64" s="43"/>
      <c r="B64" s="43"/>
      <c r="C64" s="43"/>
      <c r="D64" s="43"/>
      <c r="E64" s="43"/>
      <c r="F64" s="43"/>
      <c r="G64" s="43"/>
      <c r="H64" s="43"/>
      <c r="I64" s="43"/>
    </row>
    <row r="65" spans="1:9" x14ac:dyDescent="0.25">
      <c r="A65" s="43"/>
      <c r="B65" s="12"/>
      <c r="C65" s="14"/>
      <c r="D65" s="14"/>
      <c r="E65" s="14"/>
      <c r="F65" s="43"/>
      <c r="G65" s="64"/>
      <c r="H65" s="43"/>
      <c r="I65" s="14"/>
    </row>
    <row r="66" spans="1:9" x14ac:dyDescent="0.25">
      <c r="A66" s="43"/>
      <c r="B66" s="12"/>
      <c r="C66" s="14"/>
      <c r="D66" s="14"/>
      <c r="E66" s="14"/>
      <c r="F66" s="43"/>
      <c r="G66" s="65"/>
      <c r="H66" s="43"/>
      <c r="I66" s="14"/>
    </row>
    <row r="67" spans="1:9" x14ac:dyDescent="0.25">
      <c r="A67" s="43"/>
      <c r="B67" s="12"/>
      <c r="C67" s="14"/>
      <c r="D67" s="14"/>
      <c r="E67" s="14"/>
      <c r="F67" s="43"/>
      <c r="G67" s="65"/>
      <c r="H67" s="43"/>
      <c r="I67" s="14"/>
    </row>
    <row r="68" spans="1:9" x14ac:dyDescent="0.25">
      <c r="A68" s="43"/>
      <c r="B68" s="12"/>
      <c r="C68" s="14"/>
      <c r="D68" s="14"/>
      <c r="E68" s="14"/>
      <c r="F68" s="43"/>
      <c r="G68" s="65"/>
      <c r="H68" s="43"/>
      <c r="I68" s="14"/>
    </row>
    <row r="69" spans="1:9" x14ac:dyDescent="0.25">
      <c r="A69" s="43"/>
      <c r="B69" s="14"/>
      <c r="C69" s="14"/>
      <c r="D69" s="14"/>
      <c r="E69" s="14"/>
      <c r="F69" s="14"/>
      <c r="G69" s="14"/>
      <c r="H69" s="14"/>
      <c r="I69" s="14"/>
    </row>
    <row r="70" spans="1:9" x14ac:dyDescent="0.25">
      <c r="A70" s="43"/>
      <c r="B70" s="43"/>
      <c r="C70" s="43"/>
      <c r="D70" s="43"/>
      <c r="E70" s="43"/>
      <c r="F70" s="43"/>
      <c r="G70" s="43"/>
      <c r="H70" s="43"/>
      <c r="I70" s="43"/>
    </row>
    <row r="71" spans="1:9" x14ac:dyDescent="0.25">
      <c r="A71" s="43"/>
      <c r="B71" s="16"/>
      <c r="C71" s="16"/>
      <c r="D71" s="16"/>
      <c r="E71" s="16"/>
      <c r="F71" s="16"/>
      <c r="G71" s="16"/>
      <c r="H71" s="16"/>
      <c r="I71" s="16"/>
    </row>
    <row r="72" spans="1:9" x14ac:dyDescent="0.25">
      <c r="A72" s="43"/>
      <c r="B72" s="16"/>
      <c r="C72" s="16"/>
      <c r="D72" s="16"/>
      <c r="E72" s="16"/>
      <c r="F72" s="16"/>
      <c r="G72" s="16"/>
      <c r="H72" s="16"/>
      <c r="I72" s="16"/>
    </row>
    <row r="73" spans="1:9" x14ac:dyDescent="0.25">
      <c r="A73" s="43"/>
      <c r="B73" s="16"/>
      <c r="C73" s="16"/>
      <c r="D73" s="16"/>
      <c r="E73" s="16"/>
      <c r="F73" s="16"/>
      <c r="G73" s="16"/>
      <c r="H73" s="16"/>
      <c r="I73" s="16"/>
    </row>
    <row r="74" spans="1:9" x14ac:dyDescent="0.25">
      <c r="A74" s="43"/>
      <c r="B74" s="43"/>
      <c r="C74" s="43"/>
      <c r="D74" s="43"/>
      <c r="E74" s="43"/>
      <c r="F74" s="43"/>
      <c r="G74" s="43"/>
      <c r="H74" s="43"/>
      <c r="I74" s="43"/>
    </row>
    <row r="75" spans="1:9" x14ac:dyDescent="0.25">
      <c r="A75" s="43"/>
      <c r="B75" s="43"/>
      <c r="C75" s="43"/>
      <c r="D75" s="43"/>
      <c r="E75" s="43"/>
      <c r="F75" s="43"/>
      <c r="G75" s="43"/>
      <c r="H75" s="43"/>
      <c r="I75" s="43"/>
    </row>
    <row r="76" spans="1:9" x14ac:dyDescent="0.25">
      <c r="A76" s="43"/>
      <c r="B76" s="43"/>
      <c r="C76" s="43"/>
      <c r="D76" s="43"/>
      <c r="E76" s="43"/>
      <c r="F76" s="43"/>
      <c r="G76" s="43"/>
      <c r="H76" s="43"/>
      <c r="I76" s="43"/>
    </row>
    <row r="77" spans="1:9" x14ac:dyDescent="0.25">
      <c r="A77" s="43"/>
      <c r="B77" s="43"/>
      <c r="C77" s="43"/>
      <c r="D77" s="43"/>
      <c r="E77" s="62"/>
      <c r="F77" s="43"/>
      <c r="G77" s="43"/>
      <c r="H77" s="43"/>
      <c r="I77" s="43"/>
    </row>
    <row r="78" spans="1:9" ht="15.75" x14ac:dyDescent="0.25">
      <c r="A78" s="43"/>
      <c r="B78" s="43"/>
      <c r="C78" s="43"/>
      <c r="D78" s="43"/>
      <c r="E78" s="66"/>
      <c r="F78" s="43"/>
      <c r="G78" s="43"/>
      <c r="H78" s="43"/>
      <c r="I78" s="43"/>
    </row>
    <row r="79" spans="1:9" x14ac:dyDescent="0.25">
      <c r="A79" s="43"/>
      <c r="B79" s="43"/>
      <c r="C79" s="63"/>
      <c r="D79" s="63"/>
      <c r="E79" s="64"/>
      <c r="F79" s="43"/>
      <c r="G79" s="43"/>
      <c r="H79" s="43"/>
      <c r="I79" s="43"/>
    </row>
    <row r="80" spans="1:9" x14ac:dyDescent="0.25">
      <c r="A80" s="43"/>
      <c r="B80" s="43"/>
      <c r="C80" s="43"/>
      <c r="D80" s="43"/>
      <c r="E80" s="43"/>
      <c r="F80" s="43"/>
      <c r="G80" s="43"/>
      <c r="H80" s="43"/>
      <c r="I80" s="43"/>
    </row>
    <row r="81" spans="1:9" x14ac:dyDescent="0.25">
      <c r="A81" s="43"/>
      <c r="B81" s="43"/>
      <c r="C81" s="43"/>
      <c r="D81" s="43"/>
      <c r="E81" s="43"/>
      <c r="F81" s="43"/>
      <c r="G81" s="43"/>
      <c r="H81" s="43"/>
      <c r="I81" s="43"/>
    </row>
    <row r="82" spans="1:9" x14ac:dyDescent="0.25">
      <c r="A82" s="67"/>
      <c r="B82" s="67"/>
      <c r="C82" s="67"/>
      <c r="D82" s="67"/>
      <c r="E82" s="67"/>
      <c r="F82" s="67"/>
      <c r="G82" s="67"/>
      <c r="H82" s="67"/>
      <c r="I82" s="67"/>
    </row>
    <row r="83" spans="1:9" x14ac:dyDescent="0.25">
      <c r="A83" s="67"/>
      <c r="B83" s="67"/>
      <c r="C83" s="67"/>
      <c r="D83" s="67"/>
      <c r="E83" s="67"/>
      <c r="F83" s="67"/>
      <c r="G83" s="67"/>
      <c r="H83" s="67"/>
      <c r="I83" s="67"/>
    </row>
    <row r="84" spans="1:9" x14ac:dyDescent="0.25">
      <c r="A84" s="67"/>
      <c r="B84" s="67"/>
      <c r="C84" s="67"/>
      <c r="D84" s="67"/>
      <c r="E84" s="67"/>
      <c r="F84" s="67"/>
      <c r="G84" s="67"/>
      <c r="H84" s="67"/>
      <c r="I84" s="67"/>
    </row>
    <row r="85" spans="1:9" x14ac:dyDescent="0.25">
      <c r="A85" s="67"/>
      <c r="B85" s="67"/>
      <c r="C85" s="67"/>
      <c r="D85" s="67"/>
      <c r="E85" s="67"/>
      <c r="F85" s="67"/>
      <c r="G85" s="67"/>
      <c r="H85" s="67"/>
      <c r="I85" s="67"/>
    </row>
    <row r="86" spans="1:9" x14ac:dyDescent="0.25">
      <c r="A86" s="67"/>
      <c r="B86" s="67"/>
      <c r="C86" s="67"/>
      <c r="D86" s="67"/>
      <c r="E86" s="67"/>
      <c r="F86" s="67"/>
      <c r="G86" s="67"/>
      <c r="H86" s="67"/>
      <c r="I86" s="67"/>
    </row>
    <row r="87" spans="1:9" x14ac:dyDescent="0.25">
      <c r="A87" s="67"/>
      <c r="B87" s="67"/>
      <c r="C87" s="67"/>
      <c r="D87" s="67"/>
      <c r="E87" s="67"/>
      <c r="F87" s="67"/>
      <c r="G87" s="67"/>
      <c r="H87" s="67"/>
      <c r="I87" s="67"/>
    </row>
    <row r="88" spans="1:9" x14ac:dyDescent="0.25">
      <c r="A88" s="67"/>
      <c r="B88" s="67"/>
      <c r="C88" s="67"/>
      <c r="D88" s="67"/>
      <c r="E88" s="67"/>
      <c r="F88" s="67"/>
      <c r="G88" s="67"/>
      <c r="H88" s="67"/>
      <c r="I88" s="67"/>
    </row>
    <row r="89" spans="1:9" x14ac:dyDescent="0.25">
      <c r="A89" s="67"/>
      <c r="B89" s="67"/>
      <c r="C89" s="67"/>
      <c r="D89" s="67"/>
      <c r="E89" s="67"/>
      <c r="F89" s="67"/>
      <c r="G89" s="67"/>
      <c r="H89" s="67"/>
      <c r="I89" s="67"/>
    </row>
    <row r="90" spans="1:9" x14ac:dyDescent="0.25">
      <c r="A90" s="67"/>
      <c r="B90" s="67"/>
      <c r="C90" s="67"/>
      <c r="D90" s="67"/>
      <c r="E90" s="67"/>
      <c r="F90" s="67"/>
      <c r="G90" s="67"/>
      <c r="H90" s="67"/>
      <c r="I90" s="67"/>
    </row>
    <row r="91" spans="1:9" x14ac:dyDescent="0.25">
      <c r="A91" s="67"/>
      <c r="B91" s="67"/>
      <c r="C91" s="67"/>
      <c r="D91" s="67"/>
      <c r="E91" s="67"/>
      <c r="F91" s="67"/>
      <c r="G91" s="67"/>
      <c r="H91" s="67"/>
      <c r="I91" s="67"/>
    </row>
    <row r="92" spans="1:9" x14ac:dyDescent="0.25">
      <c r="A92" s="67"/>
      <c r="B92" s="67"/>
      <c r="C92" s="67"/>
      <c r="D92" s="67"/>
      <c r="E92" s="67"/>
      <c r="F92" s="67"/>
      <c r="G92" s="67"/>
      <c r="H92" s="67"/>
      <c r="I92" s="67"/>
    </row>
    <row r="93" spans="1:9" x14ac:dyDescent="0.25">
      <c r="A93" s="67"/>
      <c r="B93" s="67"/>
      <c r="C93" s="67"/>
      <c r="D93" s="67"/>
      <c r="E93" s="67"/>
      <c r="F93" s="67"/>
      <c r="G93" s="67"/>
      <c r="H93" s="67"/>
      <c r="I93" s="67"/>
    </row>
    <row r="94" spans="1:9" x14ac:dyDescent="0.25">
      <c r="A94" s="67"/>
      <c r="B94" s="67"/>
      <c r="C94" s="67"/>
      <c r="D94" s="67"/>
      <c r="E94" s="67"/>
      <c r="F94" s="67"/>
      <c r="G94" s="67"/>
      <c r="H94" s="67"/>
      <c r="I94" s="67"/>
    </row>
    <row r="95" spans="1:9" x14ac:dyDescent="0.25">
      <c r="A95" s="67"/>
      <c r="B95" s="67"/>
      <c r="C95" s="67"/>
      <c r="D95" s="67"/>
      <c r="E95" s="67"/>
      <c r="F95" s="67"/>
      <c r="G95" s="67"/>
      <c r="H95" s="67"/>
      <c r="I95" s="67"/>
    </row>
    <row r="96" spans="1:9" x14ac:dyDescent="0.25">
      <c r="A96" s="67"/>
      <c r="B96" s="67"/>
      <c r="C96" s="67"/>
      <c r="D96" s="67"/>
      <c r="E96" s="67"/>
      <c r="F96" s="67"/>
      <c r="G96" s="67"/>
      <c r="H96" s="67"/>
      <c r="I96" s="67"/>
    </row>
    <row r="97" spans="1:9" x14ac:dyDescent="0.25">
      <c r="A97" s="67"/>
      <c r="B97" s="67"/>
      <c r="C97" s="67"/>
      <c r="D97" s="67"/>
      <c r="E97" s="67"/>
      <c r="F97" s="67"/>
      <c r="G97" s="67"/>
      <c r="H97" s="67"/>
      <c r="I97" s="67"/>
    </row>
    <row r="98" spans="1:9" x14ac:dyDescent="0.25">
      <c r="A98" s="67"/>
      <c r="B98" s="67"/>
      <c r="C98" s="67"/>
      <c r="D98" s="67"/>
      <c r="E98" s="67"/>
      <c r="F98" s="67"/>
      <c r="G98" s="67"/>
      <c r="H98" s="67"/>
      <c r="I98" s="67"/>
    </row>
    <row r="99" spans="1:9" x14ac:dyDescent="0.25">
      <c r="A99" s="67"/>
      <c r="B99" s="67"/>
      <c r="C99" s="67"/>
      <c r="D99" s="67"/>
      <c r="E99" s="67"/>
      <c r="F99" s="67"/>
      <c r="G99" s="67"/>
      <c r="H99" s="67"/>
      <c r="I99" s="67"/>
    </row>
    <row r="100" spans="1:9" x14ac:dyDescent="0.25">
      <c r="A100" s="67"/>
      <c r="B100" s="67"/>
      <c r="C100" s="67"/>
      <c r="D100" s="67"/>
      <c r="E100" s="67"/>
      <c r="F100" s="67"/>
      <c r="G100" s="67"/>
      <c r="H100" s="67"/>
      <c r="I100" s="67"/>
    </row>
    <row r="101" spans="1:9" x14ac:dyDescent="0.25">
      <c r="A101" s="67"/>
      <c r="B101" s="67"/>
      <c r="C101" s="67"/>
      <c r="D101" s="67"/>
      <c r="E101" s="67"/>
      <c r="F101" s="67"/>
      <c r="G101" s="67"/>
      <c r="H101" s="67"/>
      <c r="I101" s="67"/>
    </row>
  </sheetData>
  <mergeCells count="2">
    <mergeCell ref="A3:E5"/>
    <mergeCell ref="A1:E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4F5A8-A379-43B3-B8E5-C7ACB40EC497}">
  <dimension ref="A1:M102"/>
  <sheetViews>
    <sheetView workbookViewId="0">
      <selection sqref="A1:XFD1048576"/>
    </sheetView>
  </sheetViews>
  <sheetFormatPr defaultColWidth="9.140625" defaultRowHeight="15" x14ac:dyDescent="0.25"/>
  <cols>
    <col min="1" max="2" width="9.140625" style="84"/>
    <col min="3" max="3" width="9.140625" style="84" customWidth="1"/>
    <col min="4" max="5" width="9.140625" style="84"/>
    <col min="6" max="6" width="9.85546875" style="84" customWidth="1"/>
    <col min="7" max="16384" width="9.140625" style="84"/>
  </cols>
  <sheetData>
    <row r="1" spans="1:13" ht="21" x14ac:dyDescent="0.35">
      <c r="A1" s="457" t="s">
        <v>1456</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8" spans="1:13" x14ac:dyDescent="0.25">
      <c r="A8" s="512" t="s">
        <v>1457</v>
      </c>
      <c r="B8" s="512"/>
      <c r="C8" s="512"/>
      <c r="D8" s="512"/>
      <c r="E8" s="512"/>
      <c r="F8" s="512"/>
      <c r="G8" s="512"/>
      <c r="H8" s="512"/>
      <c r="I8" s="512"/>
      <c r="J8" s="512"/>
      <c r="K8" s="512"/>
      <c r="L8" s="512"/>
    </row>
    <row r="9" spans="1:13" x14ac:dyDescent="0.25">
      <c r="A9" s="513" t="s">
        <v>1458</v>
      </c>
      <c r="B9" s="513"/>
      <c r="C9" s="513"/>
      <c r="D9" s="513"/>
      <c r="E9" s="513"/>
      <c r="F9" s="513"/>
      <c r="G9" s="513"/>
      <c r="H9" s="513"/>
      <c r="I9" s="513"/>
      <c r="J9" s="513"/>
      <c r="K9" s="513"/>
      <c r="L9" s="513"/>
    </row>
    <row r="10" spans="1:13" x14ac:dyDescent="0.25">
      <c r="A10" s="514" t="s">
        <v>1459</v>
      </c>
      <c r="B10" s="514"/>
      <c r="C10" s="514"/>
      <c r="D10" s="514"/>
      <c r="E10" s="514"/>
      <c r="F10" s="514"/>
      <c r="G10" s="514"/>
      <c r="H10" s="514"/>
      <c r="I10" s="514"/>
      <c r="J10" s="514"/>
      <c r="K10" s="514"/>
      <c r="L10" s="514"/>
    </row>
    <row r="11" spans="1:13" x14ac:dyDescent="0.25">
      <c r="A11" s="514"/>
      <c r="B11" s="514"/>
      <c r="C11" s="514"/>
      <c r="D11" s="514"/>
      <c r="E11" s="514"/>
      <c r="F11" s="514"/>
      <c r="G11" s="514"/>
      <c r="H11" s="514"/>
      <c r="I11" s="514"/>
      <c r="J11" s="514"/>
      <c r="K11" s="514"/>
      <c r="L11" s="514"/>
    </row>
    <row r="12" spans="1:13" x14ac:dyDescent="0.25">
      <c r="B12" s="86"/>
      <c r="C12" s="86"/>
      <c r="D12" s="86"/>
      <c r="E12" s="86"/>
      <c r="F12" s="86"/>
      <c r="G12" s="86"/>
      <c r="H12" s="86"/>
    </row>
    <row r="13" spans="1:13" ht="15.75" x14ac:dyDescent="0.25">
      <c r="A13" s="325" t="s">
        <v>1460</v>
      </c>
      <c r="B13" s="29"/>
      <c r="C13" s="29"/>
      <c r="D13" s="29"/>
      <c r="E13" s="29"/>
      <c r="F13" s="29"/>
      <c r="G13" s="29"/>
      <c r="H13" s="29"/>
      <c r="I13" s="29"/>
      <c r="J13" s="29"/>
      <c r="K13" s="29"/>
      <c r="L13" s="29"/>
      <c r="M13"/>
    </row>
    <row r="14" spans="1:13" ht="15.75" x14ac:dyDescent="0.25">
      <c r="A14" s="325"/>
      <c r="B14" s="29"/>
      <c r="C14" s="29"/>
      <c r="D14" s="29"/>
      <c r="E14" s="29"/>
      <c r="F14" s="29"/>
      <c r="G14" s="29"/>
      <c r="H14" s="29"/>
      <c r="I14" s="29"/>
      <c r="J14" s="29"/>
      <c r="K14" s="29"/>
      <c r="L14" s="29"/>
      <c r="M14"/>
    </row>
    <row r="15" spans="1:13" x14ac:dyDescent="0.25">
      <c r="A15" s="326" t="s">
        <v>1461</v>
      </c>
      <c r="B15" s="326"/>
      <c r="C15" s="326"/>
      <c r="D15"/>
      <c r="E15" s="326" t="s">
        <v>1462</v>
      </c>
      <c r="F15" s="326"/>
      <c r="G15" s="326"/>
      <c r="H15"/>
      <c r="I15"/>
      <c r="J15" s="326" t="s">
        <v>1463</v>
      </c>
      <c r="K15" s="326"/>
      <c r="L15" s="326"/>
      <c r="M15"/>
    </row>
    <row r="16" spans="1:13" x14ac:dyDescent="0.25">
      <c r="A16" s="123" t="s">
        <v>548</v>
      </c>
      <c r="B16" s="326"/>
      <c r="C16" s="327">
        <v>1395</v>
      </c>
      <c r="D16"/>
      <c r="E16" s="123" t="s">
        <v>1464</v>
      </c>
      <c r="F16" s="326"/>
      <c r="G16" s="327">
        <v>840</v>
      </c>
      <c r="H16"/>
      <c r="I16"/>
      <c r="J16" s="123" t="s">
        <v>556</v>
      </c>
      <c r="K16" s="326"/>
      <c r="L16" s="327">
        <v>776</v>
      </c>
      <c r="M16"/>
    </row>
    <row r="17" spans="1:13" x14ac:dyDescent="0.25">
      <c r="A17" s="326" t="s">
        <v>1465</v>
      </c>
      <c r="B17" s="326"/>
      <c r="C17" s="328" t="s">
        <v>1466</v>
      </c>
      <c r="D17"/>
      <c r="E17" s="326" t="s">
        <v>1465</v>
      </c>
      <c r="F17" s="326"/>
      <c r="G17" s="328" t="s">
        <v>1466</v>
      </c>
      <c r="H17"/>
      <c r="I17"/>
      <c r="J17" s="326" t="s">
        <v>1465</v>
      </c>
      <c r="K17" s="326"/>
      <c r="L17" s="328" t="s">
        <v>1466</v>
      </c>
      <c r="M17"/>
    </row>
    <row r="18" spans="1:13" x14ac:dyDescent="0.25">
      <c r="A18" s="326" t="s">
        <v>1467</v>
      </c>
      <c r="B18" s="326"/>
      <c r="C18" s="329">
        <f>SUM(1395*1.695%)</f>
        <v>23.645250000000001</v>
      </c>
      <c r="D18"/>
      <c r="E18" s="326" t="s">
        <v>1467</v>
      </c>
      <c r="F18" s="326"/>
      <c r="G18" s="329">
        <v>14.24</v>
      </c>
      <c r="H18"/>
      <c r="I18"/>
      <c r="J18" s="326" t="s">
        <v>1467</v>
      </c>
      <c r="K18" s="326"/>
      <c r="L18" s="329">
        <v>13.15</v>
      </c>
      <c r="M18"/>
    </row>
    <row r="19" spans="1:13" x14ac:dyDescent="0.25">
      <c r="A19" s="123"/>
      <c r="B19" s="29"/>
      <c r="C19" s="29"/>
      <c r="D19" s="29"/>
      <c r="E19" s="29"/>
      <c r="F19" s="326"/>
      <c r="G19" s="326"/>
      <c r="H19" s="326"/>
      <c r="I19" s="123"/>
      <c r="J19" s="29"/>
      <c r="K19" s="29"/>
      <c r="L19" s="29"/>
      <c r="M19"/>
    </row>
    <row r="20" spans="1:13" x14ac:dyDescent="0.25">
      <c r="A20" s="123"/>
      <c r="B20" s="515" t="s">
        <v>1468</v>
      </c>
      <c r="C20" s="515"/>
      <c r="D20" s="515"/>
      <c r="E20" s="515"/>
      <c r="F20" s="515"/>
      <c r="G20" s="515"/>
      <c r="H20" s="515"/>
      <c r="I20" s="515"/>
      <c r="J20" s="515"/>
      <c r="K20" s="29"/>
      <c r="L20" s="29"/>
      <c r="M20"/>
    </row>
    <row r="21" spans="1:13" x14ac:dyDescent="0.25">
      <c r="A21" s="123"/>
      <c r="B21" s="326"/>
      <c r="C21" s="29"/>
      <c r="D21" s="29"/>
      <c r="E21" s="29"/>
      <c r="F21" s="326"/>
      <c r="G21" s="326"/>
      <c r="H21" s="326"/>
      <c r="I21" s="123"/>
      <c r="J21" s="29"/>
      <c r="K21" s="29"/>
      <c r="L21" s="29"/>
      <c r="M21"/>
    </row>
    <row r="22" spans="1:13" ht="15.75" x14ac:dyDescent="0.25">
      <c r="A22" s="325" t="s">
        <v>1469</v>
      </c>
      <c r="B22" s="29"/>
      <c r="C22" s="29"/>
      <c r="D22" s="29"/>
      <c r="E22" s="29"/>
      <c r="F22" s="29"/>
      <c r="G22" s="29"/>
      <c r="H22" s="29"/>
      <c r="I22" s="29"/>
      <c r="J22" s="29"/>
      <c r="K22" s="29"/>
      <c r="L22" s="29"/>
      <c r="M22"/>
    </row>
    <row r="23" spans="1:13" x14ac:dyDescent="0.25">
      <c r="B23" s="86"/>
      <c r="C23" s="86"/>
      <c r="D23" s="86"/>
      <c r="E23" s="86"/>
      <c r="F23" s="86"/>
      <c r="G23" s="86"/>
      <c r="H23" s="86"/>
    </row>
    <row r="25" spans="1:13" x14ac:dyDescent="0.25">
      <c r="A25" s="84" t="s">
        <v>10</v>
      </c>
      <c r="B25" s="84" t="s">
        <v>11</v>
      </c>
    </row>
    <row r="27" spans="1:13" x14ac:dyDescent="0.25">
      <c r="C27" s="123" t="s">
        <v>1470</v>
      </c>
      <c r="D27" s="123"/>
      <c r="E27" s="123"/>
      <c r="F27" s="123"/>
    </row>
    <row r="28" spans="1:13" x14ac:dyDescent="0.25">
      <c r="C28" s="29"/>
      <c r="D28" s="29" t="s">
        <v>547</v>
      </c>
      <c r="E28" s="29"/>
      <c r="F28" s="29"/>
    </row>
    <row r="29" spans="1:13" x14ac:dyDescent="0.25">
      <c r="C29" s="123"/>
      <c r="D29" s="29"/>
      <c r="E29" s="123"/>
      <c r="F29" s="29"/>
    </row>
    <row r="30" spans="1:13" x14ac:dyDescent="0.25">
      <c r="C30" s="123"/>
      <c r="D30" s="123" t="s">
        <v>548</v>
      </c>
      <c r="E30" s="123"/>
      <c r="F30" s="330">
        <v>1395</v>
      </c>
    </row>
    <row r="31" spans="1:13" x14ac:dyDescent="0.25">
      <c r="C31" s="331"/>
      <c r="D31" s="332" t="s">
        <v>549</v>
      </c>
      <c r="E31" s="332"/>
      <c r="F31" s="333" t="s">
        <v>181</v>
      </c>
    </row>
    <row r="32" spans="1:13" x14ac:dyDescent="0.25">
      <c r="C32" s="123"/>
      <c r="D32" s="123" t="s">
        <v>158</v>
      </c>
      <c r="E32" s="123"/>
      <c r="F32" s="334">
        <v>23.65</v>
      </c>
    </row>
    <row r="35" spans="1:10" x14ac:dyDescent="0.25">
      <c r="A35" s="84" t="s">
        <v>12</v>
      </c>
      <c r="B35" s="84" t="s">
        <v>13</v>
      </c>
    </row>
    <row r="37" spans="1:10" x14ac:dyDescent="0.25">
      <c r="C37" s="123" t="s">
        <v>1471</v>
      </c>
      <c r="D37" s="123"/>
      <c r="E37" s="123"/>
      <c r="F37" s="123"/>
    </row>
    <row r="38" spans="1:10" x14ac:dyDescent="0.25">
      <c r="C38" s="29"/>
      <c r="D38" s="29" t="s">
        <v>547</v>
      </c>
      <c r="E38" s="29"/>
      <c r="F38" s="29"/>
    </row>
    <row r="39" spans="1:10" x14ac:dyDescent="0.25">
      <c r="C39" s="123"/>
      <c r="D39" s="29"/>
      <c r="E39" s="123"/>
      <c r="F39" s="29"/>
    </row>
    <row r="40" spans="1:10" x14ac:dyDescent="0.25">
      <c r="C40" s="123"/>
      <c r="D40" s="123" t="s">
        <v>548</v>
      </c>
      <c r="E40" s="123"/>
      <c r="F40" s="330">
        <v>1395</v>
      </c>
    </row>
    <row r="41" spans="1:10" x14ac:dyDescent="0.25">
      <c r="C41" s="331"/>
      <c r="D41" s="332" t="s">
        <v>549</v>
      </c>
      <c r="E41" s="332"/>
      <c r="F41" s="333" t="s">
        <v>181</v>
      </c>
    </row>
    <row r="42" spans="1:10" x14ac:dyDescent="0.25">
      <c r="C42" s="331"/>
      <c r="D42" s="123" t="s">
        <v>158</v>
      </c>
      <c r="E42" s="123"/>
      <c r="F42" s="334">
        <v>23.65</v>
      </c>
    </row>
    <row r="45" spans="1:10" x14ac:dyDescent="0.25">
      <c r="A45" s="84" t="s">
        <v>15</v>
      </c>
      <c r="B45" s="84" t="s">
        <v>16</v>
      </c>
    </row>
    <row r="47" spans="1:10" x14ac:dyDescent="0.25">
      <c r="C47" s="123" t="s">
        <v>1472</v>
      </c>
      <c r="D47" s="123"/>
      <c r="E47" s="123"/>
      <c r="F47" s="123"/>
      <c r="G47" s="123"/>
      <c r="H47" s="123"/>
      <c r="I47" s="123"/>
      <c r="J47" s="29"/>
    </row>
    <row r="48" spans="1:10" x14ac:dyDescent="0.25">
      <c r="C48" s="29" t="s">
        <v>1473</v>
      </c>
      <c r="D48" s="29"/>
      <c r="E48" s="29"/>
      <c r="F48" s="29"/>
      <c r="G48" s="29"/>
      <c r="H48" s="29"/>
      <c r="I48" s="29"/>
      <c r="J48" s="29"/>
    </row>
    <row r="49" spans="1:13" x14ac:dyDescent="0.25">
      <c r="C49" s="335"/>
      <c r="D49" s="29" t="s">
        <v>547</v>
      </c>
      <c r="E49" s="29"/>
      <c r="F49" s="29"/>
      <c r="G49" s="123"/>
      <c r="H49" s="123"/>
      <c r="I49" s="123"/>
      <c r="J49" s="29"/>
    </row>
    <row r="50" spans="1:13" x14ac:dyDescent="0.25">
      <c r="C50" s="336"/>
      <c r="D50" s="29"/>
      <c r="E50" s="123"/>
      <c r="F50" s="29"/>
      <c r="G50" s="336"/>
      <c r="H50" s="336"/>
      <c r="I50" s="336"/>
      <c r="J50" s="29"/>
    </row>
    <row r="51" spans="1:13" x14ac:dyDescent="0.25">
      <c r="C51" s="336"/>
      <c r="D51" s="123" t="s">
        <v>548</v>
      </c>
      <c r="E51" s="123"/>
      <c r="F51" s="330">
        <v>1047</v>
      </c>
      <c r="G51" s="336"/>
      <c r="H51" s="336"/>
      <c r="I51" s="336"/>
      <c r="J51" s="29"/>
    </row>
    <row r="52" spans="1:13" x14ac:dyDescent="0.25">
      <c r="C52" s="336"/>
      <c r="D52" s="332" t="s">
        <v>549</v>
      </c>
      <c r="E52" s="332"/>
      <c r="F52" s="333" t="s">
        <v>181</v>
      </c>
      <c r="G52" s="336"/>
      <c r="H52" s="336"/>
      <c r="I52" s="336"/>
      <c r="J52" s="29"/>
    </row>
    <row r="53" spans="1:13" x14ac:dyDescent="0.25">
      <c r="C53" s="336"/>
      <c r="D53" s="123" t="s">
        <v>158</v>
      </c>
      <c r="E53" s="123"/>
      <c r="F53" s="334">
        <v>17.75</v>
      </c>
      <c r="G53" s="336" t="s">
        <v>550</v>
      </c>
      <c r="H53" s="336"/>
      <c r="I53" s="336"/>
      <c r="J53" s="29"/>
    </row>
    <row r="55" spans="1:13" x14ac:dyDescent="0.25">
      <c r="A55" s="84" t="s">
        <v>17</v>
      </c>
      <c r="B55" s="84" t="s">
        <v>18</v>
      </c>
    </row>
    <row r="57" spans="1:13" x14ac:dyDescent="0.25">
      <c r="B57" s="86"/>
      <c r="C57" s="123" t="s">
        <v>1474</v>
      </c>
      <c r="D57" s="123"/>
      <c r="E57" s="123"/>
      <c r="F57" s="123"/>
      <c r="H57" s="86"/>
      <c r="I57" s="86"/>
      <c r="J57" s="86"/>
      <c r="K57" s="86"/>
      <c r="L57" s="86"/>
      <c r="M57" s="86"/>
    </row>
    <row r="58" spans="1:13" x14ac:dyDescent="0.25">
      <c r="B58" s="86"/>
      <c r="C58" s="331"/>
      <c r="D58" s="123" t="s">
        <v>551</v>
      </c>
      <c r="E58" s="331"/>
      <c r="F58" s="331"/>
      <c r="H58" s="86"/>
      <c r="I58" s="86"/>
      <c r="J58" s="86"/>
      <c r="K58" s="86"/>
      <c r="L58" s="86"/>
      <c r="M58" s="86"/>
    </row>
    <row r="59" spans="1:13" x14ac:dyDescent="0.25">
      <c r="B59" s="86"/>
      <c r="C59" s="29"/>
      <c r="D59" s="123"/>
      <c r="E59" s="123"/>
      <c r="F59" s="123"/>
      <c r="H59" s="86"/>
      <c r="I59" s="86"/>
      <c r="J59" s="86"/>
      <c r="K59" s="86"/>
      <c r="L59" s="86"/>
      <c r="M59" s="86"/>
    </row>
    <row r="60" spans="1:13" x14ac:dyDescent="0.25">
      <c r="C60" s="123"/>
      <c r="D60" s="123" t="s">
        <v>548</v>
      </c>
      <c r="E60" s="123"/>
      <c r="F60" s="330">
        <v>663</v>
      </c>
    </row>
    <row r="61" spans="1:13" x14ac:dyDescent="0.25">
      <c r="C61" s="335"/>
      <c r="D61" s="332" t="s">
        <v>549</v>
      </c>
      <c r="E61" s="332"/>
      <c r="F61" s="333" t="s">
        <v>181</v>
      </c>
    </row>
    <row r="62" spans="1:13" x14ac:dyDescent="0.25">
      <c r="C62" s="123"/>
      <c r="D62" s="123" t="s">
        <v>158</v>
      </c>
      <c r="E62" s="123"/>
      <c r="F62" s="334">
        <v>11.24</v>
      </c>
    </row>
    <row r="65" spans="1:12" x14ac:dyDescent="0.25">
      <c r="A65" s="84" t="s">
        <v>20</v>
      </c>
      <c r="B65" s="84" t="s">
        <v>21</v>
      </c>
    </row>
    <row r="66" spans="1:12" ht="40.5" customHeight="1" x14ac:dyDescent="0.25"/>
    <row r="67" spans="1:12" customFormat="1" x14ac:dyDescent="0.25">
      <c r="B67" s="123"/>
      <c r="C67" s="123" t="s">
        <v>1475</v>
      </c>
      <c r="D67" s="123"/>
      <c r="E67" s="123"/>
      <c r="F67" s="123"/>
      <c r="G67" s="123"/>
      <c r="H67" s="123"/>
      <c r="I67" s="123"/>
      <c r="J67" s="29"/>
      <c r="K67" s="29"/>
      <c r="L67" s="29"/>
    </row>
    <row r="68" spans="1:12" customFormat="1" x14ac:dyDescent="0.25">
      <c r="B68" s="331"/>
      <c r="C68" s="337" t="s">
        <v>1476</v>
      </c>
      <c r="D68" s="29"/>
      <c r="E68" s="331"/>
      <c r="F68" s="331"/>
      <c r="G68" s="331"/>
      <c r="H68" s="331"/>
      <c r="I68" s="331"/>
      <c r="J68" s="29"/>
      <c r="K68" s="29"/>
      <c r="L68" s="29"/>
    </row>
    <row r="69" spans="1:12" customFormat="1" x14ac:dyDescent="0.25">
      <c r="B69" s="123"/>
      <c r="C69" s="29"/>
      <c r="D69" s="123" t="s">
        <v>552</v>
      </c>
      <c r="E69" s="123"/>
      <c r="F69" s="123"/>
      <c r="G69" s="123"/>
      <c r="H69" s="123"/>
      <c r="I69" s="123"/>
      <c r="J69" s="29"/>
      <c r="K69" s="29"/>
      <c r="L69" s="29"/>
    </row>
    <row r="70" spans="1:12" customFormat="1" x14ac:dyDescent="0.25">
      <c r="B70" s="123"/>
      <c r="C70" s="123"/>
      <c r="D70" s="123"/>
      <c r="E70" s="123"/>
      <c r="F70" s="123"/>
      <c r="G70" s="123"/>
      <c r="H70" s="123"/>
      <c r="I70" s="123"/>
      <c r="J70" s="29"/>
      <c r="K70" s="29"/>
      <c r="L70" s="29"/>
    </row>
    <row r="71" spans="1:12" customFormat="1" x14ac:dyDescent="0.25">
      <c r="B71" s="123"/>
      <c r="C71" s="335"/>
      <c r="D71" s="123" t="s">
        <v>553</v>
      </c>
      <c r="E71" s="123"/>
      <c r="F71" s="123"/>
      <c r="G71" s="123"/>
      <c r="H71" s="123"/>
      <c r="I71" s="123"/>
      <c r="J71" s="29"/>
      <c r="K71" s="29"/>
      <c r="L71" s="29"/>
    </row>
    <row r="72" spans="1:12" customFormat="1" x14ac:dyDescent="0.25">
      <c r="B72" s="123"/>
      <c r="C72" s="123"/>
      <c r="D72" s="123" t="s">
        <v>548</v>
      </c>
      <c r="E72" s="123"/>
      <c r="F72" s="330">
        <v>568</v>
      </c>
      <c r="G72" s="123"/>
      <c r="H72" s="123"/>
      <c r="I72" s="123"/>
      <c r="J72" s="29"/>
      <c r="K72" s="29"/>
      <c r="L72" s="29"/>
    </row>
    <row r="73" spans="1:12" customFormat="1" x14ac:dyDescent="0.25">
      <c r="B73" s="123"/>
      <c r="C73" s="123"/>
      <c r="D73" s="332" t="s">
        <v>549</v>
      </c>
      <c r="E73" s="332"/>
      <c r="F73" s="333" t="s">
        <v>181</v>
      </c>
      <c r="G73" s="123"/>
      <c r="H73" s="123"/>
      <c r="I73" s="123"/>
      <c r="J73" s="29"/>
      <c r="K73" s="29"/>
      <c r="L73" s="29"/>
    </row>
    <row r="74" spans="1:12" customFormat="1" x14ac:dyDescent="0.25">
      <c r="B74" s="123"/>
      <c r="C74" s="123"/>
      <c r="D74" s="123" t="s">
        <v>158</v>
      </c>
      <c r="E74" s="123"/>
      <c r="F74" s="334">
        <v>9.6300000000000008</v>
      </c>
      <c r="G74" s="123"/>
      <c r="H74" s="123"/>
      <c r="I74" s="123"/>
      <c r="J74" s="29"/>
      <c r="K74" s="29"/>
      <c r="L74" s="29"/>
    </row>
    <row r="75" spans="1:12" customFormat="1" x14ac:dyDescent="0.25">
      <c r="B75" s="123"/>
      <c r="C75" s="335"/>
      <c r="D75" s="29"/>
      <c r="E75" s="29"/>
      <c r="F75" s="29"/>
      <c r="G75" s="123"/>
      <c r="H75" s="123"/>
      <c r="I75" s="123"/>
      <c r="J75" s="29"/>
      <c r="K75" s="29"/>
      <c r="L75" s="29"/>
    </row>
    <row r="76" spans="1:12" customFormat="1" x14ac:dyDescent="0.25">
      <c r="B76" s="123"/>
      <c r="C76" s="123"/>
      <c r="D76" s="123" t="s">
        <v>554</v>
      </c>
      <c r="E76" s="123"/>
      <c r="F76" s="123"/>
      <c r="G76" s="123"/>
      <c r="H76" s="123"/>
      <c r="I76" s="123"/>
      <c r="J76" s="29"/>
      <c r="K76" s="29"/>
      <c r="L76" s="29"/>
    </row>
    <row r="77" spans="1:12" customFormat="1" x14ac:dyDescent="0.25">
      <c r="B77" s="123"/>
      <c r="C77" s="123"/>
      <c r="D77" s="123" t="s">
        <v>548</v>
      </c>
      <c r="E77" s="123"/>
      <c r="F77" s="330">
        <v>698</v>
      </c>
      <c r="G77" s="123"/>
      <c r="H77" s="123"/>
      <c r="I77" s="123"/>
      <c r="J77" s="29"/>
      <c r="K77" s="29"/>
      <c r="L77" s="29"/>
    </row>
    <row r="78" spans="1:12" customFormat="1" x14ac:dyDescent="0.25">
      <c r="B78" s="123"/>
      <c r="C78" s="123"/>
      <c r="D78" s="332" t="s">
        <v>549</v>
      </c>
      <c r="E78" s="332"/>
      <c r="F78" s="333" t="s">
        <v>181</v>
      </c>
      <c r="G78" s="123"/>
      <c r="H78" s="123"/>
      <c r="I78" s="123"/>
      <c r="J78" s="29"/>
      <c r="K78" s="29"/>
      <c r="L78" s="29"/>
    </row>
    <row r="79" spans="1:12" customFormat="1" x14ac:dyDescent="0.25">
      <c r="B79" s="331"/>
      <c r="C79" s="338"/>
      <c r="D79" s="123" t="s">
        <v>158</v>
      </c>
      <c r="E79" s="123"/>
      <c r="F79" s="334">
        <v>11.83</v>
      </c>
      <c r="G79" s="338"/>
      <c r="H79" s="338"/>
      <c r="I79" s="338"/>
      <c r="J79" s="29"/>
      <c r="K79" s="29"/>
      <c r="L79" s="29"/>
    </row>
    <row r="80" spans="1:12" customFormat="1" x14ac:dyDescent="0.25">
      <c r="B80" s="331"/>
      <c r="C80" s="338"/>
      <c r="D80" s="338"/>
      <c r="E80" s="338"/>
      <c r="F80" s="338"/>
      <c r="G80" s="339" t="s">
        <v>1477</v>
      </c>
      <c r="H80" s="339"/>
      <c r="I80" s="338"/>
      <c r="J80" s="29"/>
      <c r="K80" s="29"/>
      <c r="L80" s="29"/>
    </row>
    <row r="82" spans="1:13" x14ac:dyDescent="0.25">
      <c r="A82" s="84" t="s">
        <v>1478</v>
      </c>
    </row>
    <row r="83" spans="1:13" x14ac:dyDescent="0.25">
      <c r="C83" s="123" t="s">
        <v>22</v>
      </c>
      <c r="D83" s="123" t="s">
        <v>1479</v>
      </c>
      <c r="E83" s="123"/>
      <c r="F83" s="123"/>
      <c r="G83" s="123"/>
      <c r="H83" s="123"/>
      <c r="I83" s="123"/>
    </row>
    <row r="84" spans="1:13" x14ac:dyDescent="0.25">
      <c r="C84" s="123"/>
      <c r="D84" s="337" t="s">
        <v>1480</v>
      </c>
      <c r="E84" s="123"/>
      <c r="F84" s="123"/>
      <c r="G84" s="123"/>
      <c r="H84" s="123"/>
      <c r="I84" s="123"/>
    </row>
    <row r="85" spans="1:13" x14ac:dyDescent="0.25">
      <c r="C85" s="123"/>
      <c r="D85" s="340"/>
      <c r="E85" s="341" t="s">
        <v>555</v>
      </c>
      <c r="F85" s="340"/>
      <c r="G85" s="340"/>
      <c r="H85" s="340"/>
      <c r="I85" s="340"/>
    </row>
    <row r="86" spans="1:13" x14ac:dyDescent="0.25">
      <c r="B86" s="86"/>
      <c r="C86" s="340"/>
      <c r="D86" s="340"/>
      <c r="E86" s="340"/>
      <c r="F86" s="340"/>
      <c r="G86" s="340"/>
      <c r="H86" s="340"/>
      <c r="I86" s="340"/>
      <c r="J86" s="86"/>
      <c r="K86" s="86"/>
      <c r="L86" s="86"/>
      <c r="M86" s="86"/>
    </row>
    <row r="87" spans="1:13" x14ac:dyDescent="0.25">
      <c r="B87" s="86"/>
      <c r="C87" s="123"/>
      <c r="D87" s="340"/>
      <c r="E87" s="123" t="s">
        <v>556</v>
      </c>
      <c r="F87" s="123"/>
      <c r="G87" s="330">
        <v>696</v>
      </c>
      <c r="H87" s="340"/>
      <c r="I87" s="340"/>
      <c r="J87" s="86"/>
      <c r="K87" s="86"/>
      <c r="L87" s="86"/>
      <c r="M87" s="86"/>
    </row>
    <row r="88" spans="1:13" x14ac:dyDescent="0.25">
      <c r="B88" s="86"/>
      <c r="C88" s="331"/>
      <c r="D88" s="331"/>
      <c r="E88" s="332" t="s">
        <v>549</v>
      </c>
      <c r="F88" s="332"/>
      <c r="G88" s="333" t="s">
        <v>181</v>
      </c>
      <c r="H88" s="331"/>
      <c r="I88" s="331"/>
      <c r="J88" s="86"/>
      <c r="K88" s="86"/>
      <c r="L88" s="86"/>
      <c r="M88" s="86"/>
    </row>
    <row r="89" spans="1:13" x14ac:dyDescent="0.25">
      <c r="C89" s="123"/>
      <c r="D89" s="341"/>
      <c r="E89" s="123" t="s">
        <v>158</v>
      </c>
      <c r="F89" s="123"/>
      <c r="G89" s="334">
        <v>11.8</v>
      </c>
      <c r="H89" s="123"/>
      <c r="I89" s="123"/>
    </row>
    <row r="91" spans="1:13" ht="15.75" x14ac:dyDescent="0.25">
      <c r="A91" s="516" t="s">
        <v>1481</v>
      </c>
      <c r="B91" s="516"/>
      <c r="C91" s="516"/>
      <c r="D91" s="516"/>
      <c r="E91" s="516"/>
      <c r="F91" s="516"/>
      <c r="G91" s="516"/>
      <c r="H91" s="516"/>
      <c r="I91" s="516"/>
      <c r="J91" s="516"/>
      <c r="K91" s="516"/>
      <c r="L91" s="516"/>
    </row>
    <row r="92" spans="1:13" x14ac:dyDescent="0.25">
      <c r="A92" s="29"/>
      <c r="B92" s="29"/>
      <c r="C92" s="29"/>
      <c r="D92" s="29"/>
      <c r="E92" s="29"/>
      <c r="F92" s="29"/>
      <c r="G92" s="29"/>
      <c r="H92" s="29"/>
      <c r="I92" s="29"/>
      <c r="J92" s="29"/>
      <c r="K92" s="29"/>
      <c r="L92" s="29"/>
    </row>
    <row r="93" spans="1:13" x14ac:dyDescent="0.25">
      <c r="A93" s="29"/>
      <c r="B93" s="517" t="s">
        <v>1482</v>
      </c>
      <c r="C93" s="517"/>
      <c r="D93" s="517"/>
      <c r="E93" s="517"/>
      <c r="F93" s="517"/>
      <c r="G93" s="517"/>
      <c r="H93" s="517"/>
      <c r="I93" s="517"/>
      <c r="J93" s="517"/>
      <c r="K93" s="517"/>
      <c r="L93" s="517"/>
    </row>
    <row r="94" spans="1:13" x14ac:dyDescent="0.25">
      <c r="A94" s="29"/>
      <c r="B94" s="517"/>
      <c r="C94" s="517"/>
      <c r="D94" s="517"/>
      <c r="E94" s="517"/>
      <c r="F94" s="517"/>
      <c r="G94" s="517"/>
      <c r="H94" s="517"/>
      <c r="I94" s="517"/>
      <c r="J94" s="517"/>
      <c r="K94" s="517"/>
      <c r="L94" s="517"/>
    </row>
    <row r="95" spans="1:13" x14ac:dyDescent="0.25">
      <c r="A95" s="44"/>
      <c r="B95" s="44"/>
      <c r="C95" s="44"/>
      <c r="D95" s="44"/>
      <c r="E95" s="44"/>
      <c r="F95" s="44"/>
      <c r="G95" s="44"/>
      <c r="H95" s="44"/>
      <c r="I95" s="44"/>
      <c r="J95" s="44"/>
      <c r="K95" s="44"/>
      <c r="L95" s="44"/>
    </row>
    <row r="96" spans="1:13" x14ac:dyDescent="0.25">
      <c r="A96" s="29"/>
      <c r="B96" s="517" t="s">
        <v>1483</v>
      </c>
      <c r="C96" s="517"/>
      <c r="D96" s="517"/>
      <c r="E96" s="517"/>
      <c r="F96" s="517"/>
      <c r="G96" s="517"/>
      <c r="H96" s="517"/>
      <c r="I96" s="517"/>
      <c r="J96" s="517"/>
      <c r="K96" s="517"/>
      <c r="L96" s="517"/>
    </row>
    <row r="97" spans="1:12" x14ac:dyDescent="0.25">
      <c r="A97" s="29"/>
      <c r="B97" s="517"/>
      <c r="C97" s="517"/>
      <c r="D97" s="517"/>
      <c r="E97" s="517"/>
      <c r="F97" s="517"/>
      <c r="G97" s="517"/>
      <c r="H97" s="517"/>
      <c r="I97" s="517"/>
      <c r="J97" s="517"/>
      <c r="K97" s="517"/>
      <c r="L97" s="517"/>
    </row>
    <row r="98" spans="1:12" x14ac:dyDescent="0.25">
      <c r="A98" s="29"/>
      <c r="B98" s="517"/>
      <c r="C98" s="517"/>
      <c r="D98" s="517"/>
      <c r="E98" s="517"/>
      <c r="F98" s="517"/>
      <c r="G98" s="517"/>
      <c r="H98" s="517"/>
      <c r="I98" s="517"/>
      <c r="J98" s="517"/>
      <c r="K98" s="517"/>
      <c r="L98" s="517"/>
    </row>
    <row r="99" spans="1:12" x14ac:dyDescent="0.25">
      <c r="A99" s="29"/>
      <c r="B99" s="517"/>
      <c r="C99" s="517"/>
      <c r="D99" s="517"/>
      <c r="E99" s="517"/>
      <c r="F99" s="517"/>
      <c r="G99" s="517"/>
      <c r="H99" s="517"/>
      <c r="I99" s="517"/>
      <c r="J99" s="517"/>
      <c r="K99" s="517"/>
      <c r="L99" s="517"/>
    </row>
    <row r="100" spans="1:12" x14ac:dyDescent="0.25">
      <c r="A100" s="44"/>
      <c r="B100" s="44"/>
      <c r="C100" s="44"/>
      <c r="D100" s="44"/>
      <c r="E100" s="44"/>
      <c r="F100" s="44"/>
      <c r="G100" s="44"/>
      <c r="H100" s="44"/>
      <c r="I100" s="44"/>
      <c r="J100" s="44"/>
      <c r="K100" s="44"/>
      <c r="L100" s="44"/>
    </row>
    <row r="101" spans="1:12" x14ac:dyDescent="0.25">
      <c r="A101" s="29"/>
      <c r="B101" s="511" t="s">
        <v>1484</v>
      </c>
      <c r="C101" s="511"/>
      <c r="D101" s="511"/>
      <c r="E101" s="511"/>
      <c r="F101" s="511"/>
      <c r="G101" s="511"/>
      <c r="H101" s="511"/>
      <c r="I101" s="511"/>
      <c r="J101" s="511"/>
      <c r="K101" s="511"/>
      <c r="L101" s="511"/>
    </row>
    <row r="102" spans="1:12" x14ac:dyDescent="0.25">
      <c r="A102" s="29"/>
      <c r="B102" s="511"/>
      <c r="C102" s="511"/>
      <c r="D102" s="511"/>
      <c r="E102" s="511"/>
      <c r="F102" s="511"/>
      <c r="G102" s="511"/>
      <c r="H102" s="511"/>
      <c r="I102" s="511"/>
      <c r="J102" s="511"/>
      <c r="K102" s="511"/>
      <c r="L102" s="511"/>
    </row>
  </sheetData>
  <mergeCells count="10">
    <mergeCell ref="B101:L102"/>
    <mergeCell ref="A1:I1"/>
    <mergeCell ref="A3:K6"/>
    <mergeCell ref="A8:L8"/>
    <mergeCell ref="A9:L9"/>
    <mergeCell ref="A10:L11"/>
    <mergeCell ref="B20:J20"/>
    <mergeCell ref="A91:L91"/>
    <mergeCell ref="B93:L94"/>
    <mergeCell ref="B96:L99"/>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6FE37-7CE7-4AA2-856C-1E5B1B904A22}">
  <dimension ref="A1:M88"/>
  <sheetViews>
    <sheetView workbookViewId="0">
      <selection sqref="A1:XFD1048576"/>
    </sheetView>
  </sheetViews>
  <sheetFormatPr defaultRowHeight="15" x14ac:dyDescent="0.25"/>
  <cols>
    <col min="9" max="9" width="18.5703125" customWidth="1"/>
  </cols>
  <sheetData>
    <row r="1" spans="1:13" ht="20.25" x14ac:dyDescent="0.3">
      <c r="A1" s="472" t="s">
        <v>1485</v>
      </c>
      <c r="B1" s="472"/>
      <c r="C1" s="472"/>
      <c r="D1" s="472"/>
      <c r="E1" s="472"/>
      <c r="F1" s="472"/>
      <c r="G1" s="472"/>
      <c r="H1" s="472"/>
      <c r="I1" s="472"/>
    </row>
    <row r="2" spans="1:13" ht="15" customHeight="1" x14ac:dyDescent="0.25">
      <c r="A2" s="463" t="s">
        <v>1070</v>
      </c>
      <c r="B2" s="463"/>
      <c r="C2" s="463"/>
      <c r="D2" s="463"/>
      <c r="E2" s="463"/>
      <c r="F2" s="463"/>
      <c r="G2" s="463"/>
      <c r="H2" s="463"/>
      <c r="I2" s="463"/>
      <c r="J2" s="463"/>
      <c r="K2" s="463"/>
      <c r="L2" s="3"/>
      <c r="M2" s="3"/>
    </row>
    <row r="3" spans="1:13" x14ac:dyDescent="0.25">
      <c r="A3" s="463"/>
      <c r="B3" s="463"/>
      <c r="C3" s="463"/>
      <c r="D3" s="463"/>
      <c r="E3" s="463"/>
      <c r="F3" s="463"/>
      <c r="G3" s="463"/>
      <c r="H3" s="463"/>
      <c r="I3" s="463"/>
      <c r="J3" s="463"/>
      <c r="K3" s="463"/>
      <c r="L3" s="3"/>
      <c r="M3" s="3"/>
    </row>
    <row r="4" spans="1:13" x14ac:dyDescent="0.25">
      <c r="A4" s="463"/>
      <c r="B4" s="463"/>
      <c r="C4" s="463"/>
      <c r="D4" s="463"/>
      <c r="E4" s="463"/>
      <c r="F4" s="463"/>
      <c r="G4" s="463"/>
      <c r="H4" s="463"/>
      <c r="I4" s="463"/>
      <c r="J4" s="463"/>
      <c r="K4" s="463"/>
      <c r="L4" s="3"/>
      <c r="M4" s="3"/>
    </row>
    <row r="5" spans="1:13" x14ac:dyDescent="0.25">
      <c r="A5" s="463"/>
      <c r="B5" s="463"/>
      <c r="C5" s="463"/>
      <c r="D5" s="463"/>
      <c r="E5" s="463"/>
      <c r="F5" s="463"/>
      <c r="G5" s="463"/>
      <c r="H5" s="463"/>
      <c r="I5" s="463"/>
      <c r="J5" s="463"/>
      <c r="K5" s="463"/>
      <c r="L5" s="3"/>
      <c r="M5" s="3"/>
    </row>
    <row r="8" spans="1:13" x14ac:dyDescent="0.25">
      <c r="B8" s="1" t="s">
        <v>2</v>
      </c>
      <c r="C8" s="1" t="s">
        <v>3</v>
      </c>
      <c r="D8" s="1"/>
      <c r="E8" s="1"/>
      <c r="F8" s="1"/>
      <c r="G8" s="1"/>
      <c r="H8" s="1"/>
    </row>
    <row r="9" spans="1:13" x14ac:dyDescent="0.25">
      <c r="B9" s="1"/>
      <c r="C9" s="1" t="s">
        <v>4</v>
      </c>
      <c r="D9" s="1"/>
      <c r="E9" s="1"/>
      <c r="F9" s="1"/>
      <c r="G9" s="1"/>
      <c r="H9" s="1"/>
    </row>
    <row r="10" spans="1:13" x14ac:dyDescent="0.25">
      <c r="B10" s="1" t="s">
        <v>5</v>
      </c>
      <c r="C10" s="1" t="s">
        <v>6</v>
      </c>
      <c r="D10" s="1"/>
      <c r="E10" s="1"/>
      <c r="F10" s="1"/>
      <c r="G10" s="1"/>
      <c r="H10" s="1"/>
    </row>
    <row r="11" spans="1:13" x14ac:dyDescent="0.25">
      <c r="B11" s="1"/>
      <c r="C11" s="1" t="s">
        <v>7</v>
      </c>
      <c r="D11" s="1"/>
      <c r="E11" s="1"/>
      <c r="F11" s="1"/>
      <c r="G11" s="1"/>
      <c r="H11" s="1"/>
    </row>
    <row r="12" spans="1:13" x14ac:dyDescent="0.25">
      <c r="B12" s="1"/>
      <c r="C12" s="1" t="s">
        <v>8</v>
      </c>
      <c r="D12" s="1"/>
      <c r="E12" s="1"/>
      <c r="F12" s="1"/>
      <c r="G12" s="1"/>
      <c r="H12" s="1"/>
    </row>
    <row r="13" spans="1:13" x14ac:dyDescent="0.25">
      <c r="B13" s="1"/>
      <c r="C13" s="1" t="s">
        <v>9</v>
      </c>
      <c r="D13" s="1"/>
      <c r="E13" s="1"/>
      <c r="F13" s="1"/>
      <c r="G13" s="1"/>
      <c r="H13" s="1"/>
    </row>
    <row r="16" spans="1:13" x14ac:dyDescent="0.25">
      <c r="A16" t="s">
        <v>10</v>
      </c>
      <c r="B16" t="s">
        <v>11</v>
      </c>
    </row>
    <row r="18" spans="1:5" x14ac:dyDescent="0.25">
      <c r="C18" t="s">
        <v>164</v>
      </c>
    </row>
    <row r="19" spans="1:5" x14ac:dyDescent="0.25">
      <c r="C19" t="s">
        <v>557</v>
      </c>
      <c r="E19" s="342">
        <v>948</v>
      </c>
    </row>
    <row r="20" spans="1:5" x14ac:dyDescent="0.25">
      <c r="C20" t="s">
        <v>156</v>
      </c>
      <c r="E20" s="343" t="s">
        <v>181</v>
      </c>
    </row>
    <row r="21" spans="1:5" x14ac:dyDescent="0.25">
      <c r="C21" t="s">
        <v>178</v>
      </c>
      <c r="E21" s="342" t="s">
        <v>1486</v>
      </c>
    </row>
    <row r="22" spans="1:5" x14ac:dyDescent="0.25">
      <c r="C22" t="s">
        <v>558</v>
      </c>
      <c r="E22" s="342">
        <v>100</v>
      </c>
    </row>
    <row r="23" spans="1:5" x14ac:dyDescent="0.25">
      <c r="C23" t="s">
        <v>156</v>
      </c>
      <c r="E23" t="s">
        <v>181</v>
      </c>
    </row>
    <row r="24" spans="1:5" x14ac:dyDescent="0.25">
      <c r="C24" t="s">
        <v>559</v>
      </c>
      <c r="E24" s="344" t="s">
        <v>1487</v>
      </c>
    </row>
    <row r="25" spans="1:5" x14ac:dyDescent="0.25">
      <c r="C25" t="s">
        <v>560</v>
      </c>
      <c r="E25" s="345" t="s">
        <v>561</v>
      </c>
    </row>
    <row r="26" spans="1:5" x14ac:dyDescent="0.25">
      <c r="E26" s="345"/>
    </row>
    <row r="27" spans="1:5" x14ac:dyDescent="0.25">
      <c r="A27" t="s">
        <v>12</v>
      </c>
      <c r="B27" t="s">
        <v>13</v>
      </c>
    </row>
    <row r="29" spans="1:5" x14ac:dyDescent="0.25">
      <c r="C29" t="s">
        <v>164</v>
      </c>
    </row>
    <row r="30" spans="1:5" x14ac:dyDescent="0.25">
      <c r="C30" t="s">
        <v>557</v>
      </c>
      <c r="E30" s="342">
        <v>948</v>
      </c>
    </row>
    <row r="31" spans="1:5" x14ac:dyDescent="0.25">
      <c r="C31" t="s">
        <v>156</v>
      </c>
      <c r="E31" s="343" t="s">
        <v>181</v>
      </c>
    </row>
    <row r="32" spans="1:5" x14ac:dyDescent="0.25">
      <c r="C32" t="s">
        <v>178</v>
      </c>
      <c r="E32" s="342" t="s">
        <v>1486</v>
      </c>
    </row>
    <row r="33" spans="1:5" x14ac:dyDescent="0.25">
      <c r="C33" t="s">
        <v>558</v>
      </c>
      <c r="E33" s="342">
        <v>100</v>
      </c>
    </row>
    <row r="34" spans="1:5" x14ac:dyDescent="0.25">
      <c r="C34" t="s">
        <v>156</v>
      </c>
      <c r="E34" t="s">
        <v>181</v>
      </c>
    </row>
    <row r="35" spans="1:5" x14ac:dyDescent="0.25">
      <c r="C35" t="s">
        <v>559</v>
      </c>
      <c r="E35" s="344" t="s">
        <v>1487</v>
      </c>
    </row>
    <row r="36" spans="1:5" x14ac:dyDescent="0.25">
      <c r="C36" t="s">
        <v>560</v>
      </c>
      <c r="E36" s="345" t="s">
        <v>561</v>
      </c>
    </row>
    <row r="38" spans="1:5" x14ac:dyDescent="0.25">
      <c r="A38" t="s">
        <v>15</v>
      </c>
      <c r="B38" t="s">
        <v>16</v>
      </c>
    </row>
    <row r="40" spans="1:5" x14ac:dyDescent="0.25">
      <c r="C40" s="4" t="s">
        <v>562</v>
      </c>
    </row>
    <row r="41" spans="1:5" x14ac:dyDescent="0.25">
      <c r="C41" t="s">
        <v>164</v>
      </c>
    </row>
    <row r="42" spans="1:5" x14ac:dyDescent="0.25">
      <c r="C42" t="s">
        <v>155</v>
      </c>
      <c r="E42" t="s">
        <v>1488</v>
      </c>
    </row>
    <row r="44" spans="1:5" x14ac:dyDescent="0.25">
      <c r="C44" s="4" t="s">
        <v>563</v>
      </c>
    </row>
    <row r="45" spans="1:5" x14ac:dyDescent="0.25">
      <c r="C45" t="s">
        <v>164</v>
      </c>
    </row>
    <row r="46" spans="1:5" x14ac:dyDescent="0.25">
      <c r="C46" t="s">
        <v>178</v>
      </c>
      <c r="E46" s="342">
        <v>711</v>
      </c>
    </row>
    <row r="47" spans="1:5" x14ac:dyDescent="0.25">
      <c r="C47" t="s">
        <v>156</v>
      </c>
      <c r="E47" s="343" t="s">
        <v>1489</v>
      </c>
    </row>
    <row r="48" spans="1:5" x14ac:dyDescent="0.25">
      <c r="C48" t="s">
        <v>178</v>
      </c>
      <c r="E48" s="342">
        <v>12</v>
      </c>
    </row>
    <row r="49" spans="1:13" x14ac:dyDescent="0.25">
      <c r="C49" t="s">
        <v>564</v>
      </c>
      <c r="E49" s="346">
        <v>-12</v>
      </c>
    </row>
    <row r="50" spans="1:13" x14ac:dyDescent="0.25">
      <c r="C50" t="s">
        <v>179</v>
      </c>
      <c r="E50" s="347">
        <v>0</v>
      </c>
    </row>
    <row r="51" spans="1:13" x14ac:dyDescent="0.25">
      <c r="C51" t="s">
        <v>558</v>
      </c>
      <c r="E51" s="342">
        <v>100</v>
      </c>
    </row>
    <row r="52" spans="1:13" x14ac:dyDescent="0.25">
      <c r="C52" t="s">
        <v>156</v>
      </c>
      <c r="E52" s="343" t="s">
        <v>181</v>
      </c>
    </row>
    <row r="53" spans="1:13" x14ac:dyDescent="0.25">
      <c r="C53" t="s">
        <v>559</v>
      </c>
      <c r="E53" s="344" t="s">
        <v>1487</v>
      </c>
    </row>
    <row r="55" spans="1:13" x14ac:dyDescent="0.25">
      <c r="C55" t="s">
        <v>560</v>
      </c>
      <c r="E55" s="348" t="s">
        <v>565</v>
      </c>
    </row>
    <row r="57" spans="1:13" x14ac:dyDescent="0.25">
      <c r="A57" t="s">
        <v>17</v>
      </c>
      <c r="B57" t="s">
        <v>18</v>
      </c>
    </row>
    <row r="59" spans="1:13" x14ac:dyDescent="0.25">
      <c r="B59" s="1"/>
      <c r="C59" s="76" t="s">
        <v>176</v>
      </c>
      <c r="D59" s="76"/>
      <c r="E59" s="76" t="s">
        <v>566</v>
      </c>
      <c r="F59" s="1"/>
      <c r="G59" s="1"/>
      <c r="H59" s="1"/>
      <c r="I59" s="1"/>
      <c r="J59" s="1"/>
      <c r="K59" s="1"/>
      <c r="L59" s="1"/>
      <c r="M59" s="1"/>
    </row>
    <row r="60" spans="1:13" x14ac:dyDescent="0.25">
      <c r="B60" s="1"/>
      <c r="C60" s="76" t="s">
        <v>178</v>
      </c>
      <c r="D60" s="76"/>
      <c r="E60" s="349">
        <v>507.5</v>
      </c>
      <c r="F60" s="1"/>
      <c r="G60" s="1"/>
      <c r="H60" s="1"/>
      <c r="I60" s="1"/>
      <c r="J60" s="1"/>
      <c r="K60" s="1"/>
      <c r="L60" s="1"/>
      <c r="M60" s="1"/>
    </row>
    <row r="61" spans="1:13" x14ac:dyDescent="0.25">
      <c r="B61" s="1"/>
      <c r="C61" t="s">
        <v>156</v>
      </c>
      <c r="D61" s="1"/>
      <c r="E61" s="76" t="s">
        <v>181</v>
      </c>
      <c r="F61" s="1"/>
      <c r="G61" s="1"/>
      <c r="H61" s="1"/>
      <c r="I61" s="1"/>
      <c r="J61" s="1"/>
      <c r="K61" s="1"/>
      <c r="L61" s="1"/>
      <c r="M61" s="1"/>
    </row>
    <row r="62" spans="1:13" x14ac:dyDescent="0.25">
      <c r="C62" t="s">
        <v>178</v>
      </c>
      <c r="D62" s="76"/>
      <c r="E62" s="349" t="s">
        <v>1490</v>
      </c>
      <c r="F62" s="1"/>
      <c r="G62" s="1"/>
    </row>
    <row r="63" spans="1:13" x14ac:dyDescent="0.25">
      <c r="C63" s="76" t="s">
        <v>558</v>
      </c>
      <c r="D63" s="76"/>
      <c r="E63" s="349">
        <v>100</v>
      </c>
      <c r="F63" s="1"/>
      <c r="G63" s="1"/>
    </row>
    <row r="64" spans="1:13" x14ac:dyDescent="0.25">
      <c r="C64" t="s">
        <v>156</v>
      </c>
      <c r="D64" s="1"/>
      <c r="E64" s="76" t="s">
        <v>181</v>
      </c>
      <c r="F64" s="1"/>
      <c r="G64" s="1"/>
    </row>
    <row r="65" spans="1:13" x14ac:dyDescent="0.25">
      <c r="C65" s="76" t="s">
        <v>559</v>
      </c>
      <c r="E65" s="344" t="s">
        <v>1487</v>
      </c>
      <c r="F65" s="1"/>
      <c r="G65" s="1"/>
    </row>
    <row r="66" spans="1:13" x14ac:dyDescent="0.25">
      <c r="C66" t="s">
        <v>560</v>
      </c>
      <c r="E66" s="345" t="s">
        <v>567</v>
      </c>
      <c r="F66" s="1"/>
      <c r="G66" s="1"/>
    </row>
    <row r="67" spans="1:13" x14ac:dyDescent="0.25">
      <c r="E67" s="345"/>
      <c r="F67" s="1"/>
      <c r="G67" s="1"/>
    </row>
    <row r="68" spans="1:13" x14ac:dyDescent="0.25">
      <c r="A68" t="s">
        <v>20</v>
      </c>
      <c r="B68" t="s">
        <v>21</v>
      </c>
    </row>
    <row r="70" spans="1:13" x14ac:dyDescent="0.25">
      <c r="C70" t="s">
        <v>176</v>
      </c>
      <c r="E70" t="s">
        <v>568</v>
      </c>
    </row>
    <row r="71" spans="1:13" x14ac:dyDescent="0.25">
      <c r="C71" t="s">
        <v>164</v>
      </c>
      <c r="E71" t="s">
        <v>569</v>
      </c>
    </row>
    <row r="73" spans="1:13" x14ac:dyDescent="0.25">
      <c r="C73" t="s">
        <v>178</v>
      </c>
      <c r="E73" t="s">
        <v>1491</v>
      </c>
    </row>
    <row r="75" spans="1:13" x14ac:dyDescent="0.25">
      <c r="A75" t="s">
        <v>22</v>
      </c>
      <c r="B75" t="s">
        <v>23</v>
      </c>
    </row>
    <row r="76" spans="1:13" ht="40.5" customHeight="1" x14ac:dyDescent="0.25">
      <c r="B76" s="473" t="s">
        <v>24</v>
      </c>
      <c r="C76" s="473"/>
      <c r="D76" s="473"/>
      <c r="E76" s="473"/>
      <c r="F76" s="473"/>
      <c r="G76" s="473"/>
      <c r="H76" s="473"/>
      <c r="I76" s="473"/>
      <c r="J76" s="473"/>
      <c r="K76" s="473"/>
      <c r="L76" s="1"/>
      <c r="M76" s="1"/>
    </row>
    <row r="77" spans="1:13" x14ac:dyDescent="0.25">
      <c r="B77" s="2"/>
      <c r="C77" s="2"/>
      <c r="D77" s="2"/>
      <c r="E77" s="2"/>
      <c r="F77" s="2"/>
      <c r="G77" s="2"/>
      <c r="H77" s="2"/>
      <c r="I77" s="2"/>
      <c r="J77" s="2"/>
      <c r="K77" s="2"/>
      <c r="L77" s="1"/>
      <c r="M77" s="1"/>
    </row>
    <row r="78" spans="1:13" x14ac:dyDescent="0.25">
      <c r="B78" s="2"/>
      <c r="C78" t="s">
        <v>570</v>
      </c>
      <c r="I78" s="2"/>
      <c r="J78" s="2"/>
      <c r="K78" s="2"/>
      <c r="L78" s="1"/>
      <c r="M78" s="1"/>
    </row>
    <row r="79" spans="1:13" x14ac:dyDescent="0.25">
      <c r="C79" t="s">
        <v>571</v>
      </c>
    </row>
    <row r="80" spans="1:13" x14ac:dyDescent="0.25">
      <c r="C80" t="s">
        <v>572</v>
      </c>
    </row>
    <row r="81" spans="2:13" x14ac:dyDescent="0.25">
      <c r="C81" t="s">
        <v>573</v>
      </c>
    </row>
    <row r="82" spans="2:13" x14ac:dyDescent="0.25">
      <c r="C82" t="s">
        <v>574</v>
      </c>
      <c r="E82" s="10">
        <v>272</v>
      </c>
    </row>
    <row r="83" spans="2:13" x14ac:dyDescent="0.25">
      <c r="C83" t="s">
        <v>156</v>
      </c>
      <c r="E83" t="s">
        <v>575</v>
      </c>
    </row>
    <row r="84" spans="2:13" x14ac:dyDescent="0.25">
      <c r="C84" t="s">
        <v>178</v>
      </c>
      <c r="E84" s="10" t="s">
        <v>1492</v>
      </c>
    </row>
    <row r="85" spans="2:13" x14ac:dyDescent="0.25">
      <c r="C85" t="s">
        <v>558</v>
      </c>
      <c r="E85" s="342">
        <v>100</v>
      </c>
    </row>
    <row r="86" spans="2:13" x14ac:dyDescent="0.25">
      <c r="B86" s="1"/>
      <c r="C86" t="s">
        <v>156</v>
      </c>
      <c r="D86" s="1"/>
      <c r="E86" s="76" t="s">
        <v>181</v>
      </c>
      <c r="I86" s="1"/>
      <c r="J86" s="1"/>
      <c r="K86" s="1"/>
      <c r="L86" s="1"/>
      <c r="M86" s="1"/>
    </row>
    <row r="87" spans="2:13" x14ac:dyDescent="0.25">
      <c r="B87" s="1"/>
      <c r="C87" t="s">
        <v>559</v>
      </c>
      <c r="E87" s="344" t="s">
        <v>1487</v>
      </c>
      <c r="I87" s="1"/>
      <c r="J87" s="1"/>
      <c r="K87" s="1"/>
      <c r="L87" s="1"/>
      <c r="M87" s="1"/>
    </row>
    <row r="88" spans="2:13" x14ac:dyDescent="0.25">
      <c r="B88" s="1"/>
      <c r="C88" t="s">
        <v>560</v>
      </c>
      <c r="E88" s="345" t="s">
        <v>576</v>
      </c>
      <c r="F88" s="1"/>
      <c r="G88" s="1"/>
      <c r="H88" s="1"/>
      <c r="I88" s="1"/>
      <c r="J88" s="1"/>
      <c r="K88" s="1"/>
      <c r="L88" s="1"/>
      <c r="M88" s="1"/>
    </row>
  </sheetData>
  <mergeCells count="3">
    <mergeCell ref="A1:I1"/>
    <mergeCell ref="A2:K5"/>
    <mergeCell ref="B76:K76"/>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E58FD-0406-4EB9-9D71-6BE3CB3BCD00}">
  <dimension ref="A1:M100"/>
  <sheetViews>
    <sheetView workbookViewId="0">
      <selection sqref="A1:XFD1048576"/>
    </sheetView>
  </sheetViews>
  <sheetFormatPr defaultColWidth="9.140625" defaultRowHeight="15" x14ac:dyDescent="0.25"/>
  <cols>
    <col min="1" max="8" width="9.140625" style="84"/>
    <col min="9" max="9" width="11.42578125" style="84" customWidth="1"/>
    <col min="10" max="16384" width="9.140625" style="84"/>
  </cols>
  <sheetData>
    <row r="1" spans="1:13" ht="21" x14ac:dyDescent="0.35">
      <c r="A1" s="457" t="s">
        <v>1493</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8" spans="1:13" x14ac:dyDescent="0.25">
      <c r="B8" s="350"/>
      <c r="C8" s="351" t="s">
        <v>1494</v>
      </c>
      <c r="D8" s="351" t="s">
        <v>1495</v>
      </c>
    </row>
    <row r="9" spans="1:13" ht="14.45" customHeight="1" x14ac:dyDescent="0.25">
      <c r="B9" s="352" t="s">
        <v>1496</v>
      </c>
      <c r="C9" s="353">
        <v>1</v>
      </c>
      <c r="D9" s="354">
        <f>C9*0.7235</f>
        <v>0.72350000000000003</v>
      </c>
      <c r="E9" s="86"/>
      <c r="F9" s="86"/>
    </row>
    <row r="11" spans="1:13" x14ac:dyDescent="0.25">
      <c r="A11" s="350" t="s">
        <v>10</v>
      </c>
      <c r="B11" s="350" t="s">
        <v>11</v>
      </c>
      <c r="C11" s="350"/>
      <c r="D11" s="350"/>
      <c r="E11" s="350"/>
      <c r="F11" s="350"/>
      <c r="G11" s="350"/>
      <c r="H11" s="350"/>
      <c r="I11" s="350"/>
    </row>
    <row r="13" spans="1:13" x14ac:dyDescent="0.25">
      <c r="A13" s="14" t="s">
        <v>577</v>
      </c>
      <c r="B13" s="13"/>
      <c r="C13" s="13"/>
      <c r="D13" s="13"/>
    </row>
    <row r="14" spans="1:13" x14ac:dyDescent="0.25">
      <c r="A14" s="14" t="s">
        <v>578</v>
      </c>
      <c r="B14" s="13"/>
      <c r="C14" s="13"/>
      <c r="D14" s="13"/>
    </row>
    <row r="15" spans="1:13" x14ac:dyDescent="0.25">
      <c r="A15" s="14" t="s">
        <v>8</v>
      </c>
      <c r="B15" s="13"/>
      <c r="C15" s="13"/>
      <c r="D15" s="13"/>
    </row>
    <row r="16" spans="1:13" x14ac:dyDescent="0.25">
      <c r="A16" s="14" t="s">
        <v>579</v>
      </c>
      <c r="B16" s="13"/>
      <c r="C16" s="13"/>
      <c r="D16" s="13"/>
    </row>
    <row r="17" spans="1:13" x14ac:dyDescent="0.25">
      <c r="A17" s="14" t="s">
        <v>580</v>
      </c>
      <c r="B17" s="13"/>
      <c r="C17" s="13"/>
      <c r="D17" s="13"/>
    </row>
    <row r="18" spans="1:13" s="355" customFormat="1" x14ac:dyDescent="0.25">
      <c r="A18" s="58" t="s">
        <v>1497</v>
      </c>
      <c r="B18" s="5"/>
      <c r="C18" s="5"/>
      <c r="D18" s="5"/>
    </row>
    <row r="21" spans="1:13" x14ac:dyDescent="0.25">
      <c r="A21" s="350" t="s">
        <v>12</v>
      </c>
      <c r="B21" s="350" t="s">
        <v>13</v>
      </c>
      <c r="C21" s="350"/>
      <c r="D21" s="350"/>
      <c r="E21" s="350"/>
      <c r="F21" s="350"/>
      <c r="G21" s="350"/>
      <c r="H21" s="350"/>
      <c r="I21" s="350"/>
    </row>
    <row r="23" spans="1:13" x14ac:dyDescent="0.25">
      <c r="A23" s="14" t="s">
        <v>577</v>
      </c>
      <c r="B23" s="13"/>
      <c r="C23" s="13"/>
      <c r="D23" s="13"/>
      <c r="E23" s="13"/>
      <c r="F23" s="13"/>
      <c r="G23" s="13"/>
      <c r="H23" s="13"/>
      <c r="I23" s="13"/>
      <c r="J23" s="13"/>
      <c r="K23" s="13"/>
      <c r="L23" s="13"/>
      <c r="M23" s="13"/>
    </row>
    <row r="24" spans="1:13" x14ac:dyDescent="0.25">
      <c r="A24" s="14" t="s">
        <v>578</v>
      </c>
      <c r="B24" s="13"/>
      <c r="C24" s="13"/>
      <c r="D24" s="13"/>
      <c r="E24" s="13"/>
      <c r="F24" s="13"/>
      <c r="G24" s="13"/>
      <c r="H24" s="13"/>
      <c r="I24" s="13"/>
      <c r="J24" s="13"/>
      <c r="K24" s="13"/>
      <c r="L24" s="13"/>
      <c r="M24" s="13"/>
    </row>
    <row r="25" spans="1:13" x14ac:dyDescent="0.25">
      <c r="A25" s="14" t="s">
        <v>8</v>
      </c>
      <c r="B25" s="13"/>
      <c r="C25" s="13"/>
      <c r="D25" s="13"/>
      <c r="E25" s="13"/>
      <c r="F25" s="13"/>
      <c r="G25" s="13"/>
      <c r="H25" s="13"/>
      <c r="I25" s="13"/>
      <c r="J25" s="13"/>
      <c r="K25" s="13"/>
      <c r="L25" s="13"/>
      <c r="M25" s="13"/>
    </row>
    <row r="26" spans="1:13" x14ac:dyDescent="0.25">
      <c r="A26" s="14" t="s">
        <v>579</v>
      </c>
      <c r="B26" s="13"/>
      <c r="C26" s="13"/>
      <c r="D26" s="13"/>
      <c r="E26" s="13"/>
      <c r="F26" s="13"/>
      <c r="G26" s="13"/>
      <c r="H26" s="13"/>
      <c r="I26" s="13"/>
      <c r="J26" s="13"/>
      <c r="K26" s="13"/>
      <c r="L26" s="13"/>
      <c r="M26" s="13"/>
    </row>
    <row r="27" spans="1:13" x14ac:dyDescent="0.25">
      <c r="A27" s="14" t="s">
        <v>580</v>
      </c>
      <c r="B27" s="13"/>
      <c r="C27" s="13"/>
      <c r="D27" s="13"/>
      <c r="E27" s="13"/>
      <c r="F27" s="13"/>
      <c r="G27" s="13"/>
      <c r="H27" s="13"/>
      <c r="I27" s="13"/>
      <c r="J27" s="13"/>
      <c r="K27" s="13"/>
      <c r="L27" s="13"/>
      <c r="M27" s="13"/>
    </row>
    <row r="28" spans="1:13" s="355" customFormat="1" x14ac:dyDescent="0.25">
      <c r="A28" s="58" t="s">
        <v>1497</v>
      </c>
      <c r="B28" s="5"/>
      <c r="C28" s="5"/>
      <c r="D28" s="5"/>
      <c r="E28" s="5"/>
      <c r="F28" s="5"/>
      <c r="G28" s="5"/>
      <c r="H28" s="5"/>
      <c r="I28" s="5"/>
      <c r="J28" s="5"/>
      <c r="K28" s="5"/>
      <c r="L28" s="5"/>
      <c r="M28" s="5"/>
    </row>
    <row r="31" spans="1:13" x14ac:dyDescent="0.25">
      <c r="A31" s="350" t="s">
        <v>15</v>
      </c>
      <c r="B31" s="350" t="s">
        <v>16</v>
      </c>
      <c r="C31" s="350"/>
      <c r="D31" s="350"/>
      <c r="E31" s="350"/>
      <c r="F31" s="350"/>
      <c r="G31" s="350"/>
      <c r="H31" s="350"/>
    </row>
    <row r="33" spans="1:13" x14ac:dyDescent="0.25">
      <c r="A33" s="14" t="s">
        <v>577</v>
      </c>
      <c r="B33" s="13"/>
      <c r="C33" s="13"/>
      <c r="D33" s="13"/>
      <c r="E33" s="13"/>
      <c r="F33" s="13"/>
      <c r="G33" s="13"/>
      <c r="H33" s="13"/>
      <c r="I33" s="13"/>
      <c r="J33" s="13"/>
      <c r="K33" s="13"/>
      <c r="L33" s="13"/>
      <c r="M33" s="13"/>
    </row>
    <row r="34" spans="1:13" x14ac:dyDescent="0.25">
      <c r="A34" s="14" t="s">
        <v>581</v>
      </c>
      <c r="B34" s="13"/>
      <c r="C34" s="13"/>
      <c r="D34" s="13"/>
      <c r="E34" s="13"/>
      <c r="F34" s="13"/>
      <c r="G34" s="13"/>
      <c r="H34" s="13"/>
      <c r="I34" s="13"/>
      <c r="J34" s="13"/>
      <c r="K34" s="13"/>
      <c r="L34" s="13"/>
      <c r="M34" s="13"/>
    </row>
    <row r="35" spans="1:13" x14ac:dyDescent="0.25">
      <c r="A35" s="14" t="s">
        <v>8</v>
      </c>
      <c r="B35" s="13"/>
      <c r="C35" s="13"/>
      <c r="D35" s="13"/>
      <c r="E35" s="13"/>
      <c r="F35" s="13"/>
      <c r="G35" s="13"/>
      <c r="H35" s="13"/>
      <c r="I35" s="13"/>
      <c r="J35" s="13"/>
      <c r="K35" s="13"/>
      <c r="L35" s="13"/>
      <c r="M35" s="13"/>
    </row>
    <row r="36" spans="1:13" x14ac:dyDescent="0.25">
      <c r="A36" s="14" t="s">
        <v>582</v>
      </c>
      <c r="B36" s="13"/>
      <c r="C36" s="13"/>
      <c r="D36" s="13"/>
      <c r="E36" s="13"/>
      <c r="F36" s="13"/>
      <c r="G36" s="13"/>
      <c r="H36" s="13"/>
      <c r="I36" s="13"/>
      <c r="J36" s="13"/>
      <c r="K36" s="13"/>
      <c r="L36" s="13"/>
      <c r="M36" s="13"/>
    </row>
    <row r="37" spans="1:13" x14ac:dyDescent="0.25">
      <c r="A37" s="12" t="s">
        <v>583</v>
      </c>
      <c r="B37" s="13"/>
      <c r="C37" s="13"/>
      <c r="D37" s="13"/>
      <c r="E37" s="13"/>
      <c r="F37" s="13"/>
      <c r="G37" s="13"/>
      <c r="H37" s="13"/>
      <c r="I37" s="13"/>
      <c r="J37" s="13"/>
      <c r="K37" s="13"/>
      <c r="L37" s="13"/>
      <c r="M37" s="13"/>
    </row>
    <row r="38" spans="1:13" x14ac:dyDescent="0.25">
      <c r="A38" s="14" t="s">
        <v>577</v>
      </c>
      <c r="B38" s="13"/>
      <c r="C38" s="13"/>
      <c r="D38" s="13"/>
      <c r="E38" s="13"/>
      <c r="F38" s="13"/>
      <c r="G38" s="13"/>
      <c r="H38" s="13"/>
      <c r="I38" s="13"/>
      <c r="J38" s="13"/>
      <c r="K38" s="13"/>
      <c r="L38" s="13"/>
      <c r="M38" s="13"/>
    </row>
    <row r="39" spans="1:13" x14ac:dyDescent="0.25">
      <c r="A39" s="14" t="s">
        <v>581</v>
      </c>
      <c r="B39" s="13"/>
      <c r="C39" s="13"/>
      <c r="D39" s="13"/>
      <c r="E39" s="13"/>
      <c r="F39" s="13"/>
      <c r="G39" s="13"/>
      <c r="H39" s="13"/>
      <c r="I39" s="13"/>
      <c r="J39" s="13"/>
      <c r="K39" s="13"/>
      <c r="L39" s="13"/>
      <c r="M39" s="13"/>
    </row>
    <row r="40" spans="1:13" x14ac:dyDescent="0.25">
      <c r="A40" s="14" t="s">
        <v>8</v>
      </c>
      <c r="B40" s="13"/>
      <c r="C40" s="13"/>
      <c r="D40" s="13"/>
      <c r="E40" s="13"/>
      <c r="F40" s="13"/>
      <c r="G40" s="13"/>
      <c r="H40" s="13"/>
      <c r="I40" s="13"/>
      <c r="J40" s="13"/>
      <c r="K40" s="13"/>
      <c r="L40" s="13"/>
      <c r="M40" s="13"/>
    </row>
    <row r="41" spans="1:13" x14ac:dyDescent="0.25">
      <c r="A41" s="14" t="s">
        <v>582</v>
      </c>
      <c r="B41" s="13"/>
      <c r="C41" s="13"/>
      <c r="D41" s="13"/>
      <c r="E41" s="13"/>
      <c r="F41" s="13"/>
      <c r="G41" s="13"/>
      <c r="H41" s="13"/>
      <c r="I41" s="13"/>
      <c r="J41" s="13"/>
      <c r="K41" s="13"/>
      <c r="L41" s="13"/>
      <c r="M41" s="13"/>
    </row>
    <row r="42" spans="1:13" x14ac:dyDescent="0.25">
      <c r="A42" s="14" t="s">
        <v>584</v>
      </c>
      <c r="B42" s="13"/>
      <c r="C42" s="13"/>
      <c r="D42" s="13"/>
      <c r="E42" s="13"/>
      <c r="F42" s="13"/>
      <c r="G42" s="13"/>
      <c r="H42" s="13"/>
      <c r="I42" s="13"/>
      <c r="J42" s="13"/>
      <c r="K42" s="13"/>
      <c r="L42" s="13"/>
      <c r="M42" s="13"/>
    </row>
    <row r="43" spans="1:13" x14ac:dyDescent="0.25">
      <c r="A43" s="14" t="s">
        <v>585</v>
      </c>
      <c r="B43" s="13"/>
      <c r="C43" s="13"/>
      <c r="D43" s="13"/>
      <c r="E43" s="13"/>
      <c r="F43" s="13"/>
      <c r="G43" s="13"/>
      <c r="H43" s="13"/>
      <c r="I43" s="13"/>
      <c r="J43" s="13"/>
      <c r="K43" s="13"/>
      <c r="L43" s="13"/>
      <c r="M43" s="13"/>
    </row>
    <row r="48" spans="1:13" x14ac:dyDescent="0.25">
      <c r="A48" s="350" t="s">
        <v>17</v>
      </c>
      <c r="B48" s="350" t="s">
        <v>18</v>
      </c>
      <c r="C48" s="350"/>
      <c r="D48" s="350"/>
      <c r="E48" s="350"/>
      <c r="F48" s="350"/>
      <c r="G48" s="350"/>
      <c r="H48" s="350"/>
      <c r="I48" s="350"/>
    </row>
    <row r="50" spans="1:13" x14ac:dyDescent="0.25">
      <c r="A50" s="14" t="s">
        <v>586</v>
      </c>
      <c r="B50" s="14"/>
      <c r="C50" s="14"/>
      <c r="D50" s="14"/>
      <c r="E50" s="14"/>
      <c r="F50" s="14"/>
      <c r="G50" s="14"/>
      <c r="H50" s="14"/>
      <c r="I50" s="14"/>
      <c r="J50" s="14"/>
      <c r="K50" s="14"/>
      <c r="L50" s="14"/>
      <c r="M50" s="14"/>
    </row>
    <row r="51" spans="1:13" x14ac:dyDescent="0.25">
      <c r="A51" s="14" t="s">
        <v>587</v>
      </c>
      <c r="B51" s="14"/>
      <c r="C51" s="14"/>
      <c r="D51" s="14"/>
      <c r="E51" s="14"/>
      <c r="F51" s="14"/>
      <c r="G51" s="14"/>
      <c r="H51" s="14"/>
      <c r="I51" s="14"/>
      <c r="J51" s="14"/>
      <c r="K51" s="14"/>
      <c r="L51" s="14"/>
      <c r="M51" s="14"/>
    </row>
    <row r="52" spans="1:13" x14ac:dyDescent="0.25">
      <c r="A52" s="14" t="s">
        <v>8</v>
      </c>
      <c r="B52" s="14"/>
      <c r="C52" s="14"/>
      <c r="D52" s="14"/>
      <c r="E52" s="14"/>
      <c r="F52" s="14"/>
      <c r="G52" s="14"/>
      <c r="H52" s="14"/>
      <c r="I52" s="14"/>
      <c r="J52" s="14"/>
      <c r="K52" s="14"/>
      <c r="L52" s="14"/>
      <c r="M52" s="14"/>
    </row>
    <row r="53" spans="1:13" x14ac:dyDescent="0.25">
      <c r="A53" s="14" t="s">
        <v>588</v>
      </c>
      <c r="B53" s="13"/>
      <c r="C53" s="13"/>
      <c r="D53" s="13"/>
      <c r="E53" s="13"/>
      <c r="F53" s="13"/>
      <c r="G53" s="13"/>
      <c r="H53" s="13"/>
      <c r="I53" s="13"/>
      <c r="J53" s="13"/>
      <c r="K53" s="13"/>
      <c r="L53" s="13"/>
      <c r="M53" s="13"/>
    </row>
    <row r="54" spans="1:13" x14ac:dyDescent="0.25">
      <c r="A54" s="14" t="s">
        <v>589</v>
      </c>
      <c r="B54" s="13"/>
      <c r="C54" s="13"/>
      <c r="D54" s="13"/>
      <c r="E54" s="13"/>
      <c r="F54" s="13"/>
      <c r="G54" s="13"/>
      <c r="H54" s="13"/>
      <c r="I54" s="13"/>
      <c r="J54" s="13"/>
      <c r="K54" s="13"/>
      <c r="L54" s="13"/>
      <c r="M54" s="13"/>
    </row>
    <row r="55" spans="1:13" x14ac:dyDescent="0.25">
      <c r="A55" s="58" t="s">
        <v>1498</v>
      </c>
      <c r="B55" s="13"/>
      <c r="C55" s="13"/>
      <c r="D55" s="13"/>
      <c r="E55" s="13"/>
      <c r="F55" s="13"/>
      <c r="G55" s="13"/>
      <c r="H55" s="13"/>
      <c r="I55" s="13"/>
      <c r="J55" s="13"/>
      <c r="K55" s="13"/>
      <c r="L55" s="13"/>
      <c r="M55" s="13"/>
    </row>
    <row r="58" spans="1:13" ht="15.6" customHeight="1" x14ac:dyDescent="0.25">
      <c r="A58" s="350" t="s">
        <v>20</v>
      </c>
      <c r="B58" s="350" t="s">
        <v>21</v>
      </c>
      <c r="C58" s="350"/>
      <c r="D58" s="350"/>
      <c r="E58" s="350"/>
      <c r="F58" s="350"/>
      <c r="G58" s="350"/>
      <c r="H58" s="350"/>
      <c r="I58" s="350"/>
    </row>
    <row r="60" spans="1:13" x14ac:dyDescent="0.25">
      <c r="A60" s="12" t="s">
        <v>590</v>
      </c>
      <c r="B60" s="13"/>
      <c r="C60" s="13"/>
      <c r="D60" s="13"/>
      <c r="E60" s="13"/>
      <c r="F60" s="13"/>
      <c r="G60" s="13"/>
      <c r="H60" s="13"/>
      <c r="I60" s="13"/>
      <c r="J60" s="13"/>
      <c r="K60" s="13"/>
      <c r="L60" s="13"/>
      <c r="M60" s="13"/>
    </row>
    <row r="61" spans="1:13" x14ac:dyDescent="0.25">
      <c r="A61" s="14" t="s">
        <v>586</v>
      </c>
      <c r="B61" s="13"/>
      <c r="C61" s="13"/>
      <c r="D61" s="13"/>
      <c r="E61" s="13"/>
      <c r="F61" s="13"/>
      <c r="G61" s="13"/>
      <c r="H61" s="13"/>
      <c r="I61" s="13"/>
      <c r="J61" s="13"/>
      <c r="K61" s="13"/>
      <c r="L61" s="13"/>
      <c r="M61" s="13"/>
    </row>
    <row r="62" spans="1:13" x14ac:dyDescent="0.25">
      <c r="A62" s="14" t="s">
        <v>591</v>
      </c>
      <c r="B62" s="13"/>
      <c r="C62" s="13"/>
      <c r="D62" s="13"/>
      <c r="E62" s="13"/>
      <c r="F62" s="13"/>
      <c r="G62" s="13"/>
      <c r="H62" s="13"/>
      <c r="I62" s="13"/>
      <c r="J62" s="13"/>
      <c r="K62" s="13"/>
      <c r="L62" s="13"/>
      <c r="M62" s="13"/>
    </row>
    <row r="63" spans="1:13" x14ac:dyDescent="0.25">
      <c r="A63" s="14" t="s">
        <v>8</v>
      </c>
      <c r="B63" s="13"/>
      <c r="C63" s="13"/>
      <c r="D63" s="13"/>
      <c r="E63" s="13"/>
      <c r="F63" s="13"/>
      <c r="G63" s="13"/>
      <c r="H63" s="13"/>
      <c r="I63" s="13"/>
      <c r="J63" s="13"/>
      <c r="K63" s="13"/>
      <c r="L63" s="13"/>
      <c r="M63" s="13"/>
    </row>
    <row r="64" spans="1:13" x14ac:dyDescent="0.25">
      <c r="A64" s="14" t="s">
        <v>592</v>
      </c>
      <c r="B64" s="13"/>
      <c r="C64" s="13"/>
      <c r="D64" s="13"/>
      <c r="E64" s="13"/>
      <c r="F64" s="13"/>
      <c r="G64" s="13"/>
      <c r="H64" s="13"/>
      <c r="I64" s="13"/>
      <c r="J64" s="13"/>
      <c r="K64" s="13"/>
      <c r="L64" s="13"/>
      <c r="M64" s="13"/>
    </row>
    <row r="65" spans="1:13" x14ac:dyDescent="0.25">
      <c r="A65" s="12" t="s">
        <v>593</v>
      </c>
      <c r="B65" s="13"/>
      <c r="C65" s="13"/>
      <c r="D65" s="13"/>
      <c r="E65" s="13"/>
      <c r="F65" s="13"/>
      <c r="G65" s="13"/>
      <c r="H65" s="13"/>
      <c r="I65" s="13"/>
      <c r="J65" s="13"/>
      <c r="K65" s="13"/>
      <c r="L65" s="13"/>
      <c r="M65" s="13"/>
    </row>
    <row r="66" spans="1:13" x14ac:dyDescent="0.25">
      <c r="A66" s="14" t="s">
        <v>577</v>
      </c>
      <c r="B66" s="13"/>
      <c r="C66" s="13"/>
      <c r="D66" s="13"/>
      <c r="E66" s="13"/>
      <c r="F66" s="13"/>
      <c r="G66" s="13"/>
      <c r="H66" s="13"/>
      <c r="I66" s="13"/>
      <c r="J66" s="13"/>
      <c r="K66" s="13"/>
      <c r="L66" s="13"/>
      <c r="M66" s="13"/>
    </row>
    <row r="67" spans="1:13" x14ac:dyDescent="0.25">
      <c r="A67" s="14" t="s">
        <v>594</v>
      </c>
      <c r="B67" s="13"/>
      <c r="C67" s="13"/>
      <c r="D67" s="13"/>
      <c r="E67" s="13"/>
      <c r="F67" s="13"/>
      <c r="G67" s="13"/>
      <c r="H67" s="13"/>
      <c r="I67" s="13"/>
      <c r="J67" s="13"/>
      <c r="K67" s="13"/>
      <c r="L67" s="13"/>
      <c r="M67" s="13"/>
    </row>
    <row r="68" spans="1:13" x14ac:dyDescent="0.25">
      <c r="A68" s="14" t="s">
        <v>8</v>
      </c>
      <c r="B68" s="13"/>
      <c r="C68" s="13"/>
      <c r="D68" s="13"/>
      <c r="E68" s="13"/>
      <c r="F68" s="13"/>
      <c r="G68" s="13"/>
      <c r="H68" s="13"/>
      <c r="I68" s="13"/>
      <c r="J68" s="13"/>
      <c r="K68" s="13"/>
      <c r="L68" s="13"/>
      <c r="M68" s="13"/>
    </row>
    <row r="69" spans="1:13" x14ac:dyDescent="0.25">
      <c r="A69" s="14" t="s">
        <v>595</v>
      </c>
      <c r="B69" s="13"/>
      <c r="C69" s="13"/>
      <c r="D69" s="13"/>
      <c r="E69" s="13"/>
      <c r="F69" s="13"/>
      <c r="G69" s="13"/>
      <c r="H69" s="13"/>
      <c r="I69" s="13"/>
      <c r="J69" s="13"/>
      <c r="K69" s="13"/>
      <c r="L69" s="13"/>
      <c r="M69" s="13"/>
    </row>
    <row r="70" spans="1:13" x14ac:dyDescent="0.25">
      <c r="A70" s="14" t="s">
        <v>596</v>
      </c>
      <c r="B70" s="13"/>
      <c r="C70" s="13"/>
      <c r="D70" s="13"/>
      <c r="E70" s="13"/>
      <c r="F70" s="13"/>
      <c r="G70" s="13"/>
      <c r="H70" s="13"/>
      <c r="I70" s="13"/>
      <c r="J70" s="13"/>
      <c r="K70" s="13"/>
      <c r="L70" s="13"/>
      <c r="M70" s="13"/>
    </row>
    <row r="71" spans="1:13" x14ac:dyDescent="0.25">
      <c r="A71" s="14" t="s">
        <v>1499</v>
      </c>
      <c r="B71" s="13"/>
      <c r="C71" s="13"/>
      <c r="D71" s="13"/>
      <c r="E71" s="13"/>
      <c r="F71" s="13"/>
      <c r="G71" s="13"/>
      <c r="H71" s="13"/>
      <c r="I71" s="13"/>
      <c r="J71" s="13"/>
      <c r="K71" s="13"/>
      <c r="L71" s="13"/>
      <c r="M71" s="13"/>
    </row>
    <row r="74" spans="1:13" x14ac:dyDescent="0.25">
      <c r="B74" s="86"/>
      <c r="C74" s="86"/>
      <c r="D74" s="86"/>
      <c r="E74" s="86"/>
      <c r="F74" s="86"/>
      <c r="G74" s="86"/>
      <c r="H74" s="86"/>
      <c r="I74" s="86"/>
      <c r="J74" s="86"/>
      <c r="K74" s="86"/>
      <c r="L74" s="86"/>
      <c r="M74" s="86"/>
    </row>
    <row r="75" spans="1:13" x14ac:dyDescent="0.25">
      <c r="B75" s="86"/>
      <c r="C75" s="86"/>
      <c r="D75" s="86"/>
      <c r="E75" s="86"/>
      <c r="F75" s="86"/>
      <c r="G75" s="86"/>
      <c r="H75" s="86"/>
      <c r="I75" s="86"/>
      <c r="J75" s="86"/>
      <c r="K75" s="86"/>
      <c r="L75" s="86"/>
      <c r="M75" s="86"/>
    </row>
    <row r="76" spans="1:13" x14ac:dyDescent="0.25">
      <c r="A76" s="350" t="s">
        <v>22</v>
      </c>
      <c r="B76" s="350" t="s">
        <v>23</v>
      </c>
      <c r="C76" s="350"/>
      <c r="D76" s="350"/>
      <c r="E76" s="350"/>
      <c r="F76" s="350"/>
      <c r="G76" s="350"/>
      <c r="H76" s="350"/>
      <c r="I76" s="350"/>
    </row>
    <row r="77" spans="1:13" ht="40.5" customHeight="1" x14ac:dyDescent="0.25">
      <c r="B77" s="459" t="s">
        <v>24</v>
      </c>
      <c r="C77" s="459"/>
      <c r="D77" s="459"/>
      <c r="E77" s="459"/>
      <c r="F77" s="459"/>
      <c r="G77" s="459"/>
      <c r="H77" s="459"/>
      <c r="I77" s="459"/>
      <c r="J77" s="459"/>
      <c r="K77" s="459"/>
      <c r="L77" s="86"/>
      <c r="M77" s="86"/>
    </row>
    <row r="78" spans="1:13" x14ac:dyDescent="0.25">
      <c r="B78" s="88"/>
      <c r="C78" s="88"/>
      <c r="D78" s="88"/>
      <c r="E78" s="88"/>
      <c r="F78" s="88"/>
      <c r="G78" s="88"/>
      <c r="H78" s="88"/>
      <c r="I78" s="88"/>
      <c r="J78" s="88"/>
      <c r="K78" s="88"/>
      <c r="L78" s="86"/>
      <c r="M78" s="86"/>
    </row>
    <row r="79" spans="1:13" x14ac:dyDescent="0.25">
      <c r="A79" s="14" t="s">
        <v>597</v>
      </c>
      <c r="B79" s="16"/>
      <c r="C79" s="16"/>
      <c r="D79" s="16"/>
      <c r="E79" s="16"/>
      <c r="F79" s="16"/>
      <c r="G79" s="16"/>
      <c r="H79" s="16"/>
      <c r="I79" s="16"/>
      <c r="J79" s="16"/>
      <c r="K79" s="16"/>
      <c r="L79" s="14"/>
      <c r="M79" s="14"/>
    </row>
    <row r="80" spans="1:13" x14ac:dyDescent="0.25">
      <c r="A80" s="14" t="s">
        <v>598</v>
      </c>
      <c r="B80" s="13"/>
      <c r="C80" s="13"/>
      <c r="D80" s="13"/>
      <c r="E80" s="13"/>
      <c r="F80" s="13"/>
      <c r="G80" s="13"/>
      <c r="H80" s="13"/>
      <c r="I80" s="13"/>
      <c r="J80" s="13"/>
      <c r="K80" s="13"/>
      <c r="L80" s="13"/>
      <c r="M80" s="13"/>
    </row>
    <row r="81" spans="1:13" x14ac:dyDescent="0.25">
      <c r="A81" s="14" t="s">
        <v>8</v>
      </c>
      <c r="B81" s="13"/>
      <c r="C81" s="13"/>
      <c r="D81" s="13"/>
      <c r="E81" s="13"/>
      <c r="F81" s="13"/>
      <c r="G81" s="13"/>
      <c r="H81" s="13"/>
      <c r="I81" s="13"/>
      <c r="J81" s="13"/>
      <c r="K81" s="13"/>
      <c r="L81" s="13"/>
      <c r="M81" s="13"/>
    </row>
    <row r="82" spans="1:13" x14ac:dyDescent="0.25">
      <c r="A82" s="14" t="s">
        <v>599</v>
      </c>
      <c r="B82" s="13"/>
      <c r="C82" s="13"/>
      <c r="D82" s="13"/>
      <c r="E82" s="13"/>
      <c r="F82" s="13"/>
      <c r="G82" s="13"/>
      <c r="H82" s="13"/>
      <c r="I82" s="13"/>
      <c r="J82" s="13"/>
      <c r="K82" s="13"/>
      <c r="L82" s="13"/>
      <c r="M82" s="13"/>
    </row>
    <row r="83" spans="1:13" x14ac:dyDescent="0.25">
      <c r="A83" s="14" t="s">
        <v>600</v>
      </c>
      <c r="B83" s="13"/>
      <c r="C83" s="13"/>
      <c r="D83" s="13"/>
      <c r="E83" s="13"/>
      <c r="F83" s="13"/>
      <c r="G83" s="13"/>
      <c r="H83" s="13"/>
      <c r="I83" s="13"/>
      <c r="J83" s="13"/>
      <c r="K83" s="13"/>
      <c r="L83" s="13"/>
      <c r="M83" s="13"/>
    </row>
    <row r="84" spans="1:13" x14ac:dyDescent="0.25">
      <c r="A84" s="14" t="s">
        <v>1500</v>
      </c>
      <c r="B84" s="13"/>
      <c r="C84" s="13"/>
      <c r="D84" s="13"/>
      <c r="E84" s="13"/>
      <c r="F84" s="13"/>
      <c r="G84" s="13"/>
      <c r="H84" s="13"/>
      <c r="I84" s="13"/>
      <c r="J84" s="13"/>
      <c r="K84" s="13"/>
      <c r="L84" s="13"/>
      <c r="M84" s="13"/>
    </row>
    <row r="86" spans="1:13" ht="30" x14ac:dyDescent="0.25">
      <c r="A86" s="27" t="s">
        <v>601</v>
      </c>
      <c r="B86" s="518" t="s">
        <v>602</v>
      </c>
      <c r="C86" s="518"/>
      <c r="D86" s="518"/>
      <c r="E86" s="518"/>
      <c r="F86" s="518"/>
      <c r="G86" s="518"/>
      <c r="H86" s="518"/>
      <c r="I86" s="518"/>
      <c r="J86" s="518"/>
      <c r="K86" s="518"/>
      <c r="L86" s="14"/>
      <c r="M86" s="14"/>
    </row>
    <row r="87" spans="1:13" ht="42.95" customHeight="1" x14ac:dyDescent="0.25">
      <c r="A87" s="27"/>
      <c r="B87" s="519" t="s">
        <v>603</v>
      </c>
      <c r="C87" s="519"/>
      <c r="D87" s="519"/>
      <c r="E87" s="519"/>
      <c r="F87" s="519"/>
      <c r="G87" s="519"/>
      <c r="H87" s="519"/>
      <c r="I87" s="519"/>
      <c r="J87" s="519"/>
      <c r="K87" s="519"/>
      <c r="L87" s="14"/>
      <c r="M87" s="14"/>
    </row>
    <row r="88" spans="1:13" x14ac:dyDescent="0.25">
      <c r="A88" s="13"/>
      <c r="B88" s="14"/>
      <c r="C88" s="14"/>
      <c r="D88" s="14"/>
      <c r="E88" s="14"/>
      <c r="F88" s="14"/>
      <c r="G88" s="14"/>
      <c r="H88" s="14"/>
      <c r="I88" s="14"/>
      <c r="J88" s="14"/>
      <c r="K88" s="14"/>
      <c r="L88" s="14"/>
      <c r="M88" s="14"/>
    </row>
    <row r="89" spans="1:13" x14ac:dyDescent="0.25">
      <c r="A89" s="14" t="s">
        <v>604</v>
      </c>
      <c r="B89" s="13"/>
      <c r="C89" s="13"/>
      <c r="D89" s="13"/>
      <c r="E89" s="13"/>
      <c r="F89" s="13"/>
      <c r="G89" s="13"/>
      <c r="H89" s="13"/>
      <c r="I89" s="13"/>
      <c r="J89" s="13"/>
      <c r="K89" s="13"/>
      <c r="L89" s="13"/>
      <c r="M89" s="13"/>
    </row>
    <row r="90" spans="1:13" x14ac:dyDescent="0.25">
      <c r="A90" s="14" t="s">
        <v>605</v>
      </c>
      <c r="B90" s="13"/>
      <c r="C90" s="13"/>
      <c r="D90" s="13"/>
      <c r="E90" s="13"/>
      <c r="F90" s="13"/>
      <c r="G90" s="13"/>
      <c r="H90" s="13"/>
      <c r="I90" s="13"/>
      <c r="J90" s="13"/>
      <c r="K90" s="13"/>
      <c r="L90" s="13"/>
      <c r="M90" s="13"/>
    </row>
    <row r="91" spans="1:13" x14ac:dyDescent="0.25">
      <c r="A91" s="14" t="s">
        <v>8</v>
      </c>
      <c r="B91" s="13"/>
      <c r="C91" s="13"/>
      <c r="D91" s="13"/>
      <c r="E91" s="13"/>
      <c r="F91" s="13"/>
      <c r="G91" s="13"/>
      <c r="H91" s="13"/>
      <c r="I91" s="13"/>
      <c r="J91" s="13"/>
      <c r="K91" s="13"/>
      <c r="L91" s="13"/>
      <c r="M91" s="13"/>
    </row>
    <row r="92" spans="1:13" x14ac:dyDescent="0.25">
      <c r="A92" s="14" t="s">
        <v>606</v>
      </c>
      <c r="B92" s="13"/>
      <c r="C92" s="13"/>
      <c r="D92" s="13"/>
      <c r="E92" s="13"/>
      <c r="F92" s="13"/>
      <c r="G92" s="13"/>
      <c r="H92" s="13"/>
      <c r="I92" s="13"/>
      <c r="J92" s="13"/>
      <c r="K92" s="13"/>
      <c r="L92" s="13"/>
      <c r="M92" s="13"/>
    </row>
    <row r="93" spans="1:13" x14ac:dyDescent="0.25">
      <c r="A93" s="14" t="s">
        <v>607</v>
      </c>
      <c r="B93" s="13"/>
      <c r="C93" s="13"/>
      <c r="D93" s="13"/>
      <c r="E93" s="13"/>
      <c r="F93" s="13"/>
      <c r="G93" s="13"/>
      <c r="H93" s="13"/>
      <c r="I93" s="13"/>
      <c r="J93" s="13"/>
      <c r="K93" s="13"/>
      <c r="L93" s="13"/>
      <c r="M93" s="13"/>
    </row>
    <row r="94" spans="1:13" x14ac:dyDescent="0.25">
      <c r="A94" s="14" t="s">
        <v>608</v>
      </c>
      <c r="B94" s="13"/>
      <c r="C94" s="13"/>
      <c r="D94" s="13"/>
      <c r="E94" s="13"/>
      <c r="F94" s="13"/>
      <c r="G94" s="13"/>
      <c r="H94" s="13"/>
      <c r="I94" s="13"/>
      <c r="J94" s="13"/>
      <c r="K94" s="13"/>
      <c r="L94" s="13"/>
      <c r="M94" s="13"/>
    </row>
    <row r="97" s="84" customFormat="1" x14ac:dyDescent="0.25"/>
    <row r="98" s="84" customFormat="1" x14ac:dyDescent="0.25"/>
    <row r="99" s="84" customFormat="1" x14ac:dyDescent="0.25"/>
    <row r="100" s="84" customFormat="1" x14ac:dyDescent="0.25"/>
  </sheetData>
  <mergeCells count="5">
    <mergeCell ref="B86:K86"/>
    <mergeCell ref="B87:K87"/>
    <mergeCell ref="B77:K77"/>
    <mergeCell ref="A1:I1"/>
    <mergeCell ref="A3:K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DD3C9-089D-436E-8779-468070793DA8}">
  <dimension ref="A1:M96"/>
  <sheetViews>
    <sheetView workbookViewId="0">
      <selection sqref="A1:XFD1048576"/>
    </sheetView>
  </sheetViews>
  <sheetFormatPr defaultRowHeight="15" x14ac:dyDescent="0.25"/>
  <cols>
    <col min="1" max="16384" width="9.140625" style="146"/>
  </cols>
  <sheetData>
    <row r="1" spans="1:13" x14ac:dyDescent="0.25">
      <c r="A1" s="521" t="s">
        <v>1501</v>
      </c>
      <c r="B1" s="521"/>
      <c r="C1" s="521"/>
      <c r="D1" s="521"/>
      <c r="E1" s="521"/>
      <c r="F1" s="521"/>
      <c r="G1" s="521"/>
      <c r="H1" s="521"/>
      <c r="I1" s="521"/>
    </row>
    <row r="2" spans="1:13" x14ac:dyDescent="0.25">
      <c r="A2" s="356"/>
      <c r="B2" s="356"/>
      <c r="C2" s="356"/>
      <c r="D2" s="356"/>
      <c r="E2" s="356"/>
      <c r="F2" s="356"/>
      <c r="G2" s="356"/>
      <c r="H2" s="356"/>
      <c r="I2" s="356"/>
    </row>
    <row r="3" spans="1:13" ht="15" customHeight="1" x14ac:dyDescent="0.25">
      <c r="A3" s="522" t="s">
        <v>1070</v>
      </c>
      <c r="B3" s="522"/>
      <c r="C3" s="522"/>
      <c r="D3" s="522"/>
      <c r="E3" s="522"/>
      <c r="F3" s="522"/>
      <c r="G3" s="522"/>
      <c r="H3" s="522"/>
      <c r="I3" s="522"/>
      <c r="J3" s="522"/>
      <c r="K3" s="522"/>
      <c r="L3" s="357"/>
      <c r="M3" s="357"/>
    </row>
    <row r="4" spans="1:13" x14ac:dyDescent="0.25">
      <c r="A4" s="522"/>
      <c r="B4" s="522"/>
      <c r="C4" s="522"/>
      <c r="D4" s="522"/>
      <c r="E4" s="522"/>
      <c r="F4" s="522"/>
      <c r="G4" s="522"/>
      <c r="H4" s="522"/>
      <c r="I4" s="522"/>
      <c r="J4" s="522"/>
      <c r="K4" s="522"/>
      <c r="L4" s="357"/>
      <c r="M4" s="357"/>
    </row>
    <row r="5" spans="1:13" x14ac:dyDescent="0.25">
      <c r="A5" s="522"/>
      <c r="B5" s="522"/>
      <c r="C5" s="522"/>
      <c r="D5" s="522"/>
      <c r="E5" s="522"/>
      <c r="F5" s="522"/>
      <c r="G5" s="522"/>
      <c r="H5" s="522"/>
      <c r="I5" s="522"/>
      <c r="J5" s="522"/>
      <c r="K5" s="522"/>
      <c r="L5" s="357"/>
      <c r="M5" s="357"/>
    </row>
    <row r="6" spans="1:13" x14ac:dyDescent="0.25">
      <c r="A6" s="522"/>
      <c r="B6" s="522"/>
      <c r="C6" s="522"/>
      <c r="D6" s="522"/>
      <c r="E6" s="522"/>
      <c r="F6" s="522"/>
      <c r="G6" s="522"/>
      <c r="H6" s="522"/>
      <c r="I6" s="522"/>
      <c r="J6" s="522"/>
      <c r="K6" s="522"/>
      <c r="L6" s="357"/>
      <c r="M6" s="357"/>
    </row>
    <row r="8" spans="1:13" x14ac:dyDescent="0.25">
      <c r="B8" s="160" t="s">
        <v>2</v>
      </c>
      <c r="C8" s="160" t="s">
        <v>3</v>
      </c>
      <c r="D8" s="160"/>
      <c r="E8" s="160"/>
      <c r="F8" s="160"/>
      <c r="G8" s="160"/>
      <c r="H8" s="160"/>
    </row>
    <row r="9" spans="1:13" x14ac:dyDescent="0.25">
      <c r="B9" s="160"/>
      <c r="C9" s="160" t="s">
        <v>4</v>
      </c>
      <c r="D9" s="160"/>
      <c r="E9" s="160"/>
      <c r="F9" s="160"/>
      <c r="G9" s="160"/>
      <c r="H9" s="160"/>
    </row>
    <row r="10" spans="1:13" x14ac:dyDescent="0.25">
      <c r="B10" s="160" t="s">
        <v>5</v>
      </c>
      <c r="C10" s="160" t="s">
        <v>6</v>
      </c>
      <c r="D10" s="160"/>
      <c r="E10" s="160"/>
      <c r="F10" s="160"/>
      <c r="G10" s="160"/>
      <c r="H10" s="160"/>
    </row>
    <row r="11" spans="1:13" x14ac:dyDescent="0.25">
      <c r="B11" s="160"/>
      <c r="C11" s="160" t="s">
        <v>7</v>
      </c>
      <c r="D11" s="160"/>
      <c r="E11" s="160"/>
      <c r="F11" s="160"/>
      <c r="G11" s="160"/>
      <c r="H11" s="160"/>
    </row>
    <row r="12" spans="1:13" x14ac:dyDescent="0.25">
      <c r="B12" s="160"/>
      <c r="C12" s="160" t="s">
        <v>8</v>
      </c>
      <c r="D12" s="160"/>
      <c r="E12" s="160"/>
      <c r="F12" s="160"/>
      <c r="G12" s="160"/>
      <c r="H12" s="160"/>
    </row>
    <row r="13" spans="1:13" x14ac:dyDescent="0.25">
      <c r="B13" s="160"/>
      <c r="C13" s="160" t="s">
        <v>9</v>
      </c>
      <c r="D13" s="160"/>
      <c r="E13" s="160"/>
      <c r="F13" s="160"/>
      <c r="G13" s="160"/>
      <c r="H13" s="160"/>
    </row>
    <row r="16" spans="1:13" x14ac:dyDescent="0.25">
      <c r="A16" s="172" t="s">
        <v>10</v>
      </c>
      <c r="B16" s="172" t="s">
        <v>11</v>
      </c>
      <c r="C16" s="172"/>
      <c r="D16" s="172"/>
      <c r="E16" s="172"/>
      <c r="F16" s="172"/>
      <c r="G16" s="172"/>
      <c r="H16" s="172"/>
      <c r="I16" s="172"/>
      <c r="J16" s="172"/>
    </row>
    <row r="18" spans="1:10" x14ac:dyDescent="0.25">
      <c r="B18" s="146" t="s">
        <v>609</v>
      </c>
    </row>
    <row r="19" spans="1:10" x14ac:dyDescent="0.25">
      <c r="B19" s="146" t="s">
        <v>610</v>
      </c>
    </row>
    <row r="21" spans="1:10" x14ac:dyDescent="0.25">
      <c r="B21" s="146" t="s">
        <v>611</v>
      </c>
    </row>
    <row r="23" spans="1:10" x14ac:dyDescent="0.25">
      <c r="B23" s="146" t="s">
        <v>2</v>
      </c>
      <c r="C23" s="146" t="s">
        <v>164</v>
      </c>
    </row>
    <row r="24" spans="1:10" x14ac:dyDescent="0.25">
      <c r="C24" s="146" t="s">
        <v>612</v>
      </c>
    </row>
    <row r="25" spans="1:10" ht="16.5" customHeight="1" x14ac:dyDescent="0.25">
      <c r="C25" s="146" t="s">
        <v>613</v>
      </c>
    </row>
    <row r="26" spans="1:10" ht="16.5" customHeight="1" x14ac:dyDescent="0.25">
      <c r="C26" s="146" t="s">
        <v>614</v>
      </c>
      <c r="D26" s="162">
        <v>16.920000000000002</v>
      </c>
    </row>
    <row r="29" spans="1:10" x14ac:dyDescent="0.25">
      <c r="A29" s="172" t="s">
        <v>12</v>
      </c>
      <c r="B29" s="172" t="s">
        <v>13</v>
      </c>
      <c r="C29" s="172"/>
      <c r="D29" s="172"/>
      <c r="E29" s="172"/>
      <c r="F29" s="172"/>
      <c r="G29" s="172"/>
      <c r="H29" s="172"/>
      <c r="I29" s="172"/>
      <c r="J29" s="172"/>
    </row>
    <row r="32" spans="1:10" x14ac:dyDescent="0.25">
      <c r="B32" s="146" t="s">
        <v>609</v>
      </c>
    </row>
    <row r="33" spans="1:10" x14ac:dyDescent="0.25">
      <c r="B33" s="146" t="s">
        <v>610</v>
      </c>
    </row>
    <row r="35" spans="1:10" x14ac:dyDescent="0.25">
      <c r="B35" s="146" t="s">
        <v>611</v>
      </c>
    </row>
    <row r="37" spans="1:10" x14ac:dyDescent="0.25">
      <c r="C37" s="146" t="s">
        <v>2</v>
      </c>
      <c r="D37" s="146" t="s">
        <v>164</v>
      </c>
    </row>
    <row r="38" spans="1:10" x14ac:dyDescent="0.25">
      <c r="D38" s="146" t="s">
        <v>612</v>
      </c>
    </row>
    <row r="39" spans="1:10" x14ac:dyDescent="0.25">
      <c r="D39" s="146" t="s">
        <v>613</v>
      </c>
    </row>
    <row r="40" spans="1:10" x14ac:dyDescent="0.25">
      <c r="D40" s="146" t="s">
        <v>614</v>
      </c>
      <c r="E40" s="162">
        <v>16.920000000000002</v>
      </c>
    </row>
    <row r="41" spans="1:10" x14ac:dyDescent="0.25">
      <c r="E41" s="162"/>
    </row>
    <row r="42" spans="1:10" x14ac:dyDescent="0.25">
      <c r="E42" s="162"/>
    </row>
    <row r="43" spans="1:10" x14ac:dyDescent="0.25">
      <c r="A43" s="75" t="s">
        <v>15</v>
      </c>
      <c r="B43" s="75" t="s">
        <v>16</v>
      </c>
      <c r="C43" s="75"/>
      <c r="D43" s="75"/>
      <c r="E43" s="75"/>
      <c r="F43" s="75"/>
      <c r="G43" s="75"/>
      <c r="H43" s="75"/>
      <c r="I43" s="75"/>
      <c r="J43" s="75"/>
    </row>
    <row r="45" spans="1:10" x14ac:dyDescent="0.25">
      <c r="B45" s="146" t="s">
        <v>609</v>
      </c>
    </row>
    <row r="46" spans="1:10" x14ac:dyDescent="0.25">
      <c r="B46" s="146" t="s">
        <v>610</v>
      </c>
    </row>
    <row r="48" spans="1:10" x14ac:dyDescent="0.25">
      <c r="B48" s="75" t="s">
        <v>615</v>
      </c>
      <c r="F48" s="75" t="s">
        <v>616</v>
      </c>
    </row>
    <row r="49" spans="1:13" x14ac:dyDescent="0.25">
      <c r="B49" s="146" t="s">
        <v>617</v>
      </c>
      <c r="F49" s="146" t="s">
        <v>617</v>
      </c>
    </row>
    <row r="51" spans="1:13" x14ac:dyDescent="0.25">
      <c r="B51" s="146" t="s">
        <v>155</v>
      </c>
      <c r="D51" s="358">
        <v>748.5</v>
      </c>
      <c r="F51" s="146" t="s">
        <v>155</v>
      </c>
      <c r="H51" s="358">
        <v>748.5</v>
      </c>
    </row>
    <row r="52" spans="1:13" x14ac:dyDescent="0.25">
      <c r="B52" s="146" t="s">
        <v>276</v>
      </c>
      <c r="D52" s="359" t="s">
        <v>1502</v>
      </c>
      <c r="F52" s="146" t="s">
        <v>276</v>
      </c>
      <c r="H52" s="359" t="s">
        <v>1502</v>
      </c>
    </row>
    <row r="53" spans="1:13" x14ac:dyDescent="0.25">
      <c r="B53" s="146" t="s">
        <v>618</v>
      </c>
      <c r="D53" s="360">
        <v>12.69</v>
      </c>
      <c r="F53" s="146" t="s">
        <v>618</v>
      </c>
      <c r="H53" s="360">
        <v>12.69</v>
      </c>
    </row>
    <row r="54" spans="1:13" x14ac:dyDescent="0.25">
      <c r="B54" s="146" t="s">
        <v>619</v>
      </c>
      <c r="D54" s="361">
        <v>-12.69</v>
      </c>
      <c r="H54" s="361"/>
      <c r="J54" s="358"/>
    </row>
    <row r="55" spans="1:13" x14ac:dyDescent="0.25">
      <c r="D55" s="361"/>
      <c r="F55" s="146" t="s">
        <v>158</v>
      </c>
      <c r="G55" s="358">
        <v>0</v>
      </c>
      <c r="H55" s="361"/>
      <c r="J55" s="358"/>
    </row>
    <row r="56" spans="1:13" x14ac:dyDescent="0.25">
      <c r="D56" s="361"/>
      <c r="G56" s="358"/>
      <c r="H56" s="361"/>
      <c r="J56" s="358"/>
    </row>
    <row r="58" spans="1:13" x14ac:dyDescent="0.25">
      <c r="A58" s="172" t="s">
        <v>17</v>
      </c>
      <c r="B58" s="172" t="s">
        <v>18</v>
      </c>
      <c r="C58" s="172"/>
      <c r="D58" s="172"/>
      <c r="E58" s="172"/>
      <c r="F58" s="172"/>
      <c r="G58" s="172"/>
      <c r="H58" s="172"/>
      <c r="I58" s="172"/>
      <c r="J58" s="172"/>
    </row>
    <row r="60" spans="1:13" x14ac:dyDescent="0.25">
      <c r="B60" s="146" t="s">
        <v>609</v>
      </c>
      <c r="J60" s="160"/>
      <c r="K60" s="160"/>
      <c r="L60" s="160"/>
      <c r="M60" s="160"/>
    </row>
    <row r="61" spans="1:13" x14ac:dyDescent="0.25">
      <c r="B61" s="146" t="s">
        <v>610</v>
      </c>
      <c r="J61" s="160"/>
      <c r="K61" s="160"/>
      <c r="L61" s="160"/>
      <c r="M61" s="160"/>
    </row>
    <row r="62" spans="1:13" x14ac:dyDescent="0.25">
      <c r="J62" s="160"/>
      <c r="K62" s="160"/>
      <c r="L62" s="160"/>
      <c r="M62" s="160"/>
    </row>
    <row r="63" spans="1:13" x14ac:dyDescent="0.25">
      <c r="B63" s="362" t="s">
        <v>620</v>
      </c>
      <c r="C63" s="160"/>
      <c r="D63" s="160"/>
      <c r="E63" s="160"/>
      <c r="F63" s="160"/>
      <c r="G63" s="160"/>
      <c r="H63" s="160"/>
      <c r="I63" s="160"/>
      <c r="J63" s="160"/>
      <c r="K63" s="160"/>
      <c r="L63" s="160"/>
      <c r="M63" s="160"/>
    </row>
    <row r="64" spans="1:13" x14ac:dyDescent="0.25">
      <c r="B64" s="160"/>
      <c r="C64" s="160"/>
      <c r="D64" s="160"/>
      <c r="E64" s="160"/>
      <c r="F64" s="160"/>
      <c r="G64" s="160"/>
      <c r="H64" s="160"/>
      <c r="I64" s="160"/>
    </row>
    <row r="65" spans="1:10" x14ac:dyDescent="0.25">
      <c r="B65" s="362" t="s">
        <v>621</v>
      </c>
      <c r="C65" s="160"/>
      <c r="D65" s="160"/>
      <c r="E65" s="160"/>
      <c r="F65" s="160"/>
      <c r="G65" s="160"/>
      <c r="H65" s="160"/>
      <c r="I65" s="160"/>
    </row>
    <row r="66" spans="1:10" x14ac:dyDescent="0.25">
      <c r="B66" s="362" t="s">
        <v>1503</v>
      </c>
    </row>
    <row r="67" spans="1:10" x14ac:dyDescent="0.25">
      <c r="B67" s="362" t="s">
        <v>622</v>
      </c>
    </row>
    <row r="68" spans="1:10" x14ac:dyDescent="0.25">
      <c r="B68" s="362"/>
    </row>
    <row r="70" spans="1:10" x14ac:dyDescent="0.25">
      <c r="A70" s="75" t="s">
        <v>20</v>
      </c>
      <c r="B70" s="75" t="s">
        <v>21</v>
      </c>
      <c r="C70" s="75"/>
      <c r="D70" s="75"/>
      <c r="E70" s="75"/>
      <c r="F70" s="75"/>
      <c r="G70" s="75"/>
      <c r="H70" s="75"/>
      <c r="I70" s="75"/>
      <c r="J70" s="75"/>
    </row>
    <row r="72" spans="1:10" x14ac:dyDescent="0.25">
      <c r="B72" s="146" t="s">
        <v>609</v>
      </c>
    </row>
    <row r="73" spans="1:10" x14ac:dyDescent="0.25">
      <c r="B73" s="146" t="s">
        <v>610</v>
      </c>
    </row>
    <row r="75" spans="1:10" x14ac:dyDescent="0.25">
      <c r="B75" s="146" t="s">
        <v>623</v>
      </c>
    </row>
    <row r="77" spans="1:10" x14ac:dyDescent="0.25">
      <c r="B77" s="146" t="s">
        <v>624</v>
      </c>
    </row>
    <row r="78" spans="1:10" x14ac:dyDescent="0.25">
      <c r="B78" s="146" t="s">
        <v>1504</v>
      </c>
    </row>
    <row r="79" spans="1:10" x14ac:dyDescent="0.25">
      <c r="B79" s="146" t="s">
        <v>625</v>
      </c>
    </row>
    <row r="80" spans="1:10" x14ac:dyDescent="0.25">
      <c r="B80" s="362" t="s">
        <v>1505</v>
      </c>
      <c r="C80" s="160"/>
      <c r="D80" s="160"/>
      <c r="E80" s="160"/>
      <c r="F80" s="160"/>
    </row>
    <row r="81" spans="1:13" x14ac:dyDescent="0.25">
      <c r="B81" s="362" t="s">
        <v>626</v>
      </c>
      <c r="C81" s="160"/>
      <c r="D81" s="160"/>
      <c r="E81" s="160"/>
      <c r="F81" s="160"/>
      <c r="G81" s="160"/>
      <c r="H81" s="160"/>
      <c r="I81" s="160"/>
    </row>
    <row r="82" spans="1:13" x14ac:dyDescent="0.25">
      <c r="B82" s="160"/>
      <c r="C82" s="160"/>
      <c r="D82" s="160"/>
      <c r="E82" s="160"/>
      <c r="F82" s="160"/>
      <c r="G82" s="160"/>
      <c r="H82" s="160"/>
      <c r="I82" s="160"/>
      <c r="J82" s="160"/>
      <c r="K82" s="160"/>
      <c r="L82" s="160"/>
      <c r="M82" s="160"/>
    </row>
    <row r="83" spans="1:13" x14ac:dyDescent="0.25">
      <c r="B83" s="160"/>
      <c r="C83" s="160"/>
      <c r="D83" s="160"/>
      <c r="E83" s="160"/>
      <c r="F83" s="160"/>
      <c r="G83" s="160"/>
      <c r="H83" s="160"/>
      <c r="I83" s="160"/>
      <c r="J83" s="160"/>
      <c r="K83" s="160"/>
      <c r="L83" s="160"/>
      <c r="M83" s="160"/>
    </row>
    <row r="84" spans="1:13" x14ac:dyDescent="0.25">
      <c r="A84" s="172" t="s">
        <v>22</v>
      </c>
      <c r="B84" s="172" t="s">
        <v>23</v>
      </c>
      <c r="C84" s="172"/>
      <c r="D84" s="172"/>
      <c r="E84" s="172"/>
      <c r="F84" s="172"/>
      <c r="G84" s="172"/>
      <c r="H84" s="172"/>
      <c r="I84" s="172"/>
    </row>
    <row r="85" spans="1:13" ht="48" customHeight="1" x14ac:dyDescent="0.25">
      <c r="B85" s="520" t="s">
        <v>24</v>
      </c>
      <c r="C85" s="520"/>
      <c r="D85" s="520"/>
      <c r="E85" s="520"/>
      <c r="F85" s="520"/>
      <c r="G85" s="520"/>
      <c r="H85" s="520"/>
      <c r="I85" s="520"/>
      <c r="J85" s="520"/>
      <c r="K85" s="520"/>
      <c r="L85" s="160"/>
      <c r="M85" s="160"/>
    </row>
    <row r="86" spans="1:13" x14ac:dyDescent="0.25">
      <c r="B86" s="160"/>
      <c r="C86" s="160"/>
      <c r="D86" s="160"/>
      <c r="E86" s="160"/>
      <c r="F86" s="160"/>
      <c r="G86" s="160"/>
      <c r="H86" s="160"/>
      <c r="I86" s="160"/>
      <c r="J86" s="160"/>
      <c r="K86" s="160"/>
      <c r="L86" s="160"/>
      <c r="M86" s="160"/>
    </row>
    <row r="87" spans="1:13" x14ac:dyDescent="0.25">
      <c r="B87" s="146" t="s">
        <v>627</v>
      </c>
      <c r="J87" s="160"/>
    </row>
    <row r="88" spans="1:13" x14ac:dyDescent="0.25">
      <c r="B88" s="146" t="s">
        <v>610</v>
      </c>
    </row>
    <row r="90" spans="1:13" x14ac:dyDescent="0.25">
      <c r="B90" s="146" t="s">
        <v>628</v>
      </c>
    </row>
    <row r="92" spans="1:13" x14ac:dyDescent="0.25">
      <c r="B92" s="146" t="s">
        <v>155</v>
      </c>
      <c r="D92" s="162">
        <v>485</v>
      </c>
    </row>
    <row r="93" spans="1:13" x14ac:dyDescent="0.25">
      <c r="B93" s="146" t="s">
        <v>276</v>
      </c>
      <c r="D93" s="146" t="s">
        <v>1506</v>
      </c>
    </row>
    <row r="94" spans="1:13" x14ac:dyDescent="0.25">
      <c r="B94" s="146" t="s">
        <v>158</v>
      </c>
      <c r="D94" s="360">
        <v>8.2200000000000006</v>
      </c>
      <c r="E94" s="160"/>
      <c r="F94" s="160"/>
      <c r="G94" s="160"/>
      <c r="H94" s="160"/>
      <c r="I94" s="160"/>
      <c r="J94" s="160"/>
      <c r="K94" s="160"/>
      <c r="L94" s="160"/>
      <c r="M94" s="160"/>
    </row>
    <row r="95" spans="1:13" x14ac:dyDescent="0.25">
      <c r="B95" s="160"/>
      <c r="C95" s="160"/>
      <c r="D95" s="160"/>
      <c r="E95" s="160"/>
      <c r="F95" s="160"/>
      <c r="G95" s="160"/>
      <c r="H95" s="160"/>
      <c r="I95" s="160"/>
      <c r="J95" s="160"/>
      <c r="K95" s="160"/>
      <c r="L95" s="160"/>
      <c r="M95" s="160"/>
    </row>
    <row r="96" spans="1:13" x14ac:dyDescent="0.25">
      <c r="B96" s="160"/>
      <c r="C96" s="160"/>
      <c r="D96" s="160"/>
      <c r="E96" s="160"/>
      <c r="F96" s="160"/>
      <c r="G96" s="160"/>
      <c r="H96" s="160"/>
      <c r="I96" s="160"/>
      <c r="J96" s="160"/>
      <c r="K96" s="160"/>
      <c r="L96" s="160"/>
      <c r="M96" s="160"/>
    </row>
  </sheetData>
  <mergeCells count="3">
    <mergeCell ref="B85:K85"/>
    <mergeCell ref="A1:I1"/>
    <mergeCell ref="A3:K6"/>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5F566-8061-491B-8E5D-E6C03E14BB10}">
  <dimension ref="A1:M77"/>
  <sheetViews>
    <sheetView workbookViewId="0">
      <selection sqref="A1:XFD1048576"/>
    </sheetView>
  </sheetViews>
  <sheetFormatPr defaultRowHeight="15" x14ac:dyDescent="0.25"/>
  <cols>
    <col min="1" max="4" width="9.140625" style="84"/>
    <col min="5" max="5" width="19.42578125" style="84" customWidth="1"/>
    <col min="6" max="16384" width="9.140625" style="84"/>
  </cols>
  <sheetData>
    <row r="1" spans="1:13" ht="21" x14ac:dyDescent="0.35">
      <c r="A1" s="457" t="s">
        <v>1507</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7" x14ac:dyDescent="0.25">
      <c r="A17" s="84" t="s">
        <v>10</v>
      </c>
      <c r="B17" s="84" t="s">
        <v>11</v>
      </c>
    </row>
    <row r="19" spans="1:7" x14ac:dyDescent="0.25">
      <c r="B19" t="s">
        <v>629</v>
      </c>
      <c r="C19"/>
      <c r="D19"/>
      <c r="E19"/>
      <c r="F19"/>
      <c r="G19" s="13"/>
    </row>
    <row r="20" spans="1:7" x14ac:dyDescent="0.25">
      <c r="B20" t="s">
        <v>630</v>
      </c>
      <c r="C20"/>
      <c r="D20"/>
      <c r="E20"/>
      <c r="F20"/>
      <c r="G20" s="13"/>
    </row>
    <row r="21" spans="1:7" x14ac:dyDescent="0.25">
      <c r="B21" t="s">
        <v>631</v>
      </c>
      <c r="C21"/>
      <c r="D21"/>
      <c r="E21" s="68">
        <v>2754</v>
      </c>
      <c r="F21"/>
      <c r="G21" s="13"/>
    </row>
    <row r="22" spans="1:7" x14ac:dyDescent="0.25">
      <c r="B22" t="s">
        <v>632</v>
      </c>
      <c r="C22"/>
      <c r="D22"/>
      <c r="E22" s="68">
        <v>180</v>
      </c>
      <c r="F22"/>
      <c r="G22" s="13"/>
    </row>
    <row r="23" spans="1:7" x14ac:dyDescent="0.25">
      <c r="B23" t="s">
        <v>633</v>
      </c>
      <c r="C23"/>
      <c r="D23"/>
      <c r="E23" s="68">
        <v>2934</v>
      </c>
      <c r="F23"/>
      <c r="G23" s="13"/>
    </row>
    <row r="24" spans="1:7" x14ac:dyDescent="0.25">
      <c r="B24" t="s">
        <v>156</v>
      </c>
      <c r="C24"/>
      <c r="D24"/>
      <c r="E24" t="s">
        <v>634</v>
      </c>
      <c r="F24"/>
      <c r="G24" s="13"/>
    </row>
    <row r="25" spans="1:7" x14ac:dyDescent="0.25">
      <c r="B25" t="s">
        <v>635</v>
      </c>
      <c r="C25"/>
      <c r="D25"/>
      <c r="E25" s="68">
        <v>49.73</v>
      </c>
      <c r="F25" t="s">
        <v>636</v>
      </c>
      <c r="G25" s="13"/>
    </row>
    <row r="27" spans="1:7" x14ac:dyDescent="0.25">
      <c r="A27" s="84" t="s">
        <v>12</v>
      </c>
      <c r="B27" s="84" t="s">
        <v>13</v>
      </c>
    </row>
    <row r="29" spans="1:7" x14ac:dyDescent="0.25">
      <c r="B29" t="s">
        <v>629</v>
      </c>
      <c r="C29"/>
      <c r="D29"/>
      <c r="E29"/>
      <c r="F29"/>
      <c r="G29" s="13"/>
    </row>
    <row r="30" spans="1:7" x14ac:dyDescent="0.25">
      <c r="B30" t="s">
        <v>630</v>
      </c>
      <c r="C30"/>
      <c r="D30"/>
      <c r="E30"/>
      <c r="F30"/>
      <c r="G30" s="13"/>
    </row>
    <row r="31" spans="1:7" x14ac:dyDescent="0.25">
      <c r="B31" t="s">
        <v>631</v>
      </c>
      <c r="C31"/>
      <c r="D31"/>
      <c r="E31" s="68">
        <v>2754</v>
      </c>
      <c r="F31"/>
      <c r="G31" s="13"/>
    </row>
    <row r="32" spans="1:7" x14ac:dyDescent="0.25">
      <c r="B32" t="s">
        <v>637</v>
      </c>
      <c r="C32"/>
      <c r="D32"/>
      <c r="E32" s="68">
        <v>180</v>
      </c>
      <c r="F32"/>
      <c r="G32" s="13"/>
    </row>
    <row r="33" spans="1:13" x14ac:dyDescent="0.25">
      <c r="B33" t="s">
        <v>633</v>
      </c>
      <c r="C33"/>
      <c r="D33" s="80"/>
      <c r="E33" s="68">
        <v>2934</v>
      </c>
      <c r="F33"/>
      <c r="G33" s="13"/>
    </row>
    <row r="34" spans="1:13" x14ac:dyDescent="0.25">
      <c r="B34" t="s">
        <v>156</v>
      </c>
      <c r="C34"/>
      <c r="D34"/>
      <c r="E34" t="s">
        <v>634</v>
      </c>
      <c r="F34"/>
      <c r="G34"/>
    </row>
    <row r="35" spans="1:13" x14ac:dyDescent="0.25">
      <c r="B35" t="s">
        <v>638</v>
      </c>
      <c r="C35"/>
      <c r="D35"/>
      <c r="E35" s="79">
        <v>49.73</v>
      </c>
      <c r="F35" t="s">
        <v>636</v>
      </c>
      <c r="G35"/>
    </row>
    <row r="37" spans="1:13" x14ac:dyDescent="0.25">
      <c r="A37" s="84" t="s">
        <v>15</v>
      </c>
      <c r="B37" s="84" t="s">
        <v>16</v>
      </c>
    </row>
    <row r="39" spans="1:13" x14ac:dyDescent="0.25">
      <c r="B39" t="s">
        <v>639</v>
      </c>
      <c r="C39"/>
      <c r="D39"/>
      <c r="E39"/>
      <c r="F39"/>
      <c r="G39"/>
      <c r="H39"/>
    </row>
    <row r="40" spans="1:13" x14ac:dyDescent="0.25">
      <c r="B40" t="s">
        <v>640</v>
      </c>
      <c r="C40"/>
      <c r="D40"/>
      <c r="E40"/>
      <c r="F40"/>
      <c r="G40"/>
      <c r="H40"/>
    </row>
    <row r="42" spans="1:13" x14ac:dyDescent="0.25">
      <c r="A42" s="84" t="s">
        <v>17</v>
      </c>
      <c r="B42" s="84" t="s">
        <v>18</v>
      </c>
    </row>
    <row r="44" spans="1:13" x14ac:dyDescent="0.25">
      <c r="B44" s="1" t="s">
        <v>641</v>
      </c>
      <c r="C44" s="1"/>
      <c r="D44" s="1"/>
      <c r="E44" s="1"/>
      <c r="F44" s="1"/>
      <c r="G44" s="1"/>
      <c r="H44" s="86"/>
      <c r="I44" s="86"/>
      <c r="J44" s="86"/>
      <c r="K44" s="86"/>
      <c r="L44" s="86"/>
      <c r="M44" s="86"/>
    </row>
    <row r="45" spans="1:13" x14ac:dyDescent="0.25">
      <c r="B45" s="1" t="s">
        <v>631</v>
      </c>
      <c r="C45" s="1"/>
      <c r="D45" s="1"/>
      <c r="E45" s="81">
        <v>1516.67</v>
      </c>
      <c r="F45" s="1"/>
      <c r="G45" s="1"/>
      <c r="H45" s="86"/>
      <c r="I45" s="86"/>
      <c r="J45" s="86"/>
      <c r="K45" s="86"/>
      <c r="L45" s="86"/>
      <c r="M45" s="86"/>
    </row>
    <row r="46" spans="1:13" x14ac:dyDescent="0.25">
      <c r="B46" s="1" t="s">
        <v>642</v>
      </c>
      <c r="C46" s="1"/>
      <c r="D46" s="1"/>
      <c r="E46" s="81">
        <v>105</v>
      </c>
      <c r="F46" s="1"/>
      <c r="G46" s="1"/>
      <c r="H46" s="86"/>
      <c r="I46" s="86"/>
      <c r="J46" s="86"/>
      <c r="K46" s="86"/>
      <c r="L46" s="86"/>
      <c r="M46" s="86"/>
    </row>
    <row r="47" spans="1:13" x14ac:dyDescent="0.25">
      <c r="B47" t="s">
        <v>643</v>
      </c>
      <c r="C47"/>
      <c r="D47"/>
      <c r="E47" s="68">
        <v>1621.67</v>
      </c>
      <c r="F47"/>
      <c r="G47"/>
    </row>
    <row r="48" spans="1:13" x14ac:dyDescent="0.25">
      <c r="B48" t="s">
        <v>156</v>
      </c>
      <c r="C48"/>
      <c r="D48"/>
      <c r="E48" t="s">
        <v>634</v>
      </c>
      <c r="F48"/>
      <c r="G48"/>
    </row>
    <row r="49" spans="1:13" x14ac:dyDescent="0.25">
      <c r="B49" t="s">
        <v>158</v>
      </c>
      <c r="C49"/>
      <c r="D49"/>
      <c r="E49" s="68">
        <v>27.49</v>
      </c>
      <c r="F49" t="s">
        <v>636</v>
      </c>
      <c r="G49"/>
    </row>
    <row r="52" spans="1:13" x14ac:dyDescent="0.25">
      <c r="A52" s="84" t="s">
        <v>20</v>
      </c>
      <c r="B52" s="84" t="s">
        <v>21</v>
      </c>
    </row>
    <row r="54" spans="1:13" x14ac:dyDescent="0.25">
      <c r="B54" t="s">
        <v>644</v>
      </c>
      <c r="C54"/>
      <c r="D54"/>
      <c r="E54" t="s">
        <v>1508</v>
      </c>
      <c r="F54"/>
      <c r="G54"/>
      <c r="H54"/>
      <c r="I54"/>
    </row>
    <row r="55" spans="1:13" x14ac:dyDescent="0.25">
      <c r="B55"/>
      <c r="C55"/>
      <c r="D55" t="s">
        <v>79</v>
      </c>
      <c r="E55" s="75" t="s">
        <v>1065</v>
      </c>
      <c r="F55"/>
      <c r="G55"/>
      <c r="H55"/>
      <c r="I55"/>
    </row>
    <row r="56" spans="1:13" x14ac:dyDescent="0.25">
      <c r="B56"/>
      <c r="C56"/>
      <c r="D56" t="s">
        <v>749</v>
      </c>
      <c r="E56" s="68">
        <v>24.87</v>
      </c>
      <c r="F56" t="s">
        <v>636</v>
      </c>
      <c r="G56"/>
      <c r="H56"/>
      <c r="I56"/>
    </row>
    <row r="57" spans="1:13" x14ac:dyDescent="0.25">
      <c r="B57" t="s">
        <v>645</v>
      </c>
      <c r="C57"/>
      <c r="D57"/>
      <c r="E57" t="s">
        <v>1509</v>
      </c>
      <c r="F57"/>
      <c r="G57"/>
      <c r="H57"/>
      <c r="I57"/>
    </row>
    <row r="58" spans="1:13" x14ac:dyDescent="0.25">
      <c r="B58"/>
      <c r="C58"/>
      <c r="D58" t="s">
        <v>79</v>
      </c>
      <c r="E58" s="75" t="s">
        <v>1065</v>
      </c>
      <c r="F58"/>
      <c r="G58"/>
      <c r="H58"/>
      <c r="I58"/>
    </row>
    <row r="59" spans="1:13" x14ac:dyDescent="0.25">
      <c r="B59"/>
      <c r="C59"/>
      <c r="D59" t="s">
        <v>749</v>
      </c>
      <c r="E59" s="68">
        <v>23.56</v>
      </c>
      <c r="F59" t="s">
        <v>636</v>
      </c>
      <c r="G59"/>
      <c r="H59"/>
      <c r="I59"/>
    </row>
    <row r="60" spans="1:13" x14ac:dyDescent="0.25">
      <c r="B60" t="s">
        <v>756</v>
      </c>
      <c r="C60"/>
      <c r="D60"/>
      <c r="E60" s="68" t="s">
        <v>1510</v>
      </c>
      <c r="F60"/>
      <c r="G60"/>
      <c r="H60"/>
      <c r="I60"/>
      <c r="J60" s="86"/>
      <c r="K60" s="86"/>
      <c r="L60" s="86"/>
      <c r="M60" s="86"/>
    </row>
    <row r="61" spans="1:13" x14ac:dyDescent="0.25">
      <c r="B61"/>
      <c r="C61"/>
      <c r="D61" t="s">
        <v>1066</v>
      </c>
      <c r="E61" s="82" t="s">
        <v>1511</v>
      </c>
      <c r="F61"/>
      <c r="G61"/>
      <c r="H61"/>
      <c r="I61"/>
      <c r="J61" s="86"/>
      <c r="K61" s="86"/>
      <c r="L61" s="86"/>
      <c r="M61" s="86"/>
    </row>
    <row r="62" spans="1:13" x14ac:dyDescent="0.25">
      <c r="B62" t="s">
        <v>158</v>
      </c>
      <c r="C62"/>
      <c r="D62" t="s">
        <v>749</v>
      </c>
      <c r="E62" s="68">
        <v>1.31</v>
      </c>
      <c r="F62"/>
      <c r="G62"/>
      <c r="H62"/>
      <c r="I62"/>
      <c r="J62" s="86"/>
      <c r="K62" s="86"/>
      <c r="L62" s="86"/>
      <c r="M62" s="86"/>
    </row>
    <row r="63" spans="1:13" x14ac:dyDescent="0.25">
      <c r="B63"/>
      <c r="C63"/>
      <c r="D63"/>
      <c r="E63" s="82"/>
      <c r="F63"/>
      <c r="G63"/>
      <c r="H63"/>
      <c r="I63"/>
      <c r="J63" s="86"/>
      <c r="K63" s="86"/>
      <c r="L63" s="86"/>
      <c r="M63" s="86"/>
    </row>
    <row r="64" spans="1:13" x14ac:dyDescent="0.25">
      <c r="A64" s="84" t="s">
        <v>22</v>
      </c>
      <c r="B64"/>
      <c r="C64"/>
      <c r="D64"/>
      <c r="E64" s="68"/>
      <c r="F64"/>
      <c r="G64"/>
      <c r="H64"/>
      <c r="I64"/>
    </row>
    <row r="65" spans="2:13" ht="40.5" customHeight="1" x14ac:dyDescent="0.25">
      <c r="B65" s="459" t="s">
        <v>24</v>
      </c>
      <c r="C65" s="459"/>
      <c r="D65" s="459"/>
      <c r="E65" s="459"/>
      <c r="F65" s="459"/>
      <c r="G65" s="459"/>
      <c r="H65" s="459"/>
      <c r="I65" s="459"/>
      <c r="J65" s="459"/>
      <c r="K65" s="459"/>
      <c r="L65" s="86"/>
      <c r="M65" s="86"/>
    </row>
    <row r="66" spans="2:13" x14ac:dyDescent="0.25">
      <c r="B66" s="88"/>
      <c r="C66" s="88"/>
      <c r="D66" s="88"/>
      <c r="E66" s="88"/>
      <c r="F66" s="88"/>
      <c r="G66" s="88"/>
      <c r="H66" s="88"/>
      <c r="I66" s="88"/>
      <c r="J66" s="88"/>
      <c r="K66" s="88"/>
      <c r="L66" s="86"/>
      <c r="M66" s="86"/>
    </row>
    <row r="67" spans="2:13" x14ac:dyDescent="0.25">
      <c r="B67" s="2" t="s">
        <v>646</v>
      </c>
      <c r="C67" s="2"/>
      <c r="D67" s="2"/>
      <c r="E67" s="2"/>
      <c r="F67" s="2"/>
      <c r="G67" s="2"/>
      <c r="H67" s="88"/>
      <c r="I67" s="88"/>
      <c r="J67" s="88"/>
      <c r="K67" s="88"/>
      <c r="L67" s="86"/>
      <c r="M67" s="86"/>
    </row>
    <row r="68" spans="2:13" x14ac:dyDescent="0.25">
      <c r="B68" s="13"/>
      <c r="C68" s="13"/>
      <c r="D68" s="13"/>
      <c r="E68" s="22"/>
      <c r="F68" s="13"/>
      <c r="G68" s="13"/>
    </row>
    <row r="69" spans="2:13" x14ac:dyDescent="0.25">
      <c r="B69" t="s">
        <v>647</v>
      </c>
      <c r="C69"/>
      <c r="D69"/>
      <c r="E69"/>
      <c r="F69"/>
      <c r="G69"/>
    </row>
    <row r="70" spans="2:13" x14ac:dyDescent="0.25">
      <c r="B70" t="s">
        <v>648</v>
      </c>
      <c r="C70"/>
      <c r="D70"/>
      <c r="E70"/>
      <c r="F70"/>
      <c r="G70"/>
    </row>
    <row r="71" spans="2:13" x14ac:dyDescent="0.25">
      <c r="B71" t="s">
        <v>25</v>
      </c>
      <c r="C71"/>
      <c r="D71"/>
      <c r="E71" s="68">
        <v>638</v>
      </c>
      <c r="F71"/>
      <c r="G71"/>
    </row>
    <row r="72" spans="2:13" x14ac:dyDescent="0.25">
      <c r="B72" t="s">
        <v>342</v>
      </c>
      <c r="C72"/>
      <c r="D72"/>
      <c r="E72" s="68">
        <v>638</v>
      </c>
      <c r="F72"/>
      <c r="G72"/>
    </row>
    <row r="73" spans="2:13" x14ac:dyDescent="0.25">
      <c r="B73" t="s">
        <v>156</v>
      </c>
      <c r="C73"/>
      <c r="D73"/>
      <c r="E73" t="s">
        <v>634</v>
      </c>
      <c r="F73"/>
      <c r="G73"/>
    </row>
    <row r="74" spans="2:13" x14ac:dyDescent="0.25">
      <c r="B74" t="s">
        <v>158</v>
      </c>
      <c r="C74"/>
      <c r="D74"/>
      <c r="E74" s="68">
        <v>10.81</v>
      </c>
      <c r="F74" t="s">
        <v>636</v>
      </c>
      <c r="G74"/>
    </row>
    <row r="75" spans="2:13" x14ac:dyDescent="0.25">
      <c r="B75" s="86"/>
      <c r="C75" s="86"/>
      <c r="D75" s="86"/>
      <c r="E75" s="86"/>
      <c r="F75" s="86"/>
      <c r="G75" s="86"/>
      <c r="H75" s="86"/>
      <c r="I75" s="86"/>
      <c r="J75" s="86"/>
      <c r="K75" s="86"/>
      <c r="L75" s="86"/>
      <c r="M75" s="86"/>
    </row>
    <row r="76" spans="2:13" x14ac:dyDescent="0.25">
      <c r="B76" s="86"/>
      <c r="C76" s="86"/>
      <c r="D76" s="86"/>
      <c r="E76" s="86"/>
      <c r="F76" s="86"/>
      <c r="G76" s="86"/>
      <c r="H76" s="86"/>
      <c r="I76" s="86"/>
      <c r="J76" s="86"/>
      <c r="K76" s="86"/>
      <c r="L76" s="86"/>
      <c r="M76" s="86"/>
    </row>
    <row r="77" spans="2:13" x14ac:dyDescent="0.25">
      <c r="B77" s="86"/>
      <c r="C77" s="86"/>
      <c r="D77" s="86"/>
      <c r="E77" s="86"/>
      <c r="F77" s="86"/>
      <c r="G77" s="86"/>
      <c r="H77" s="86"/>
      <c r="I77" s="86"/>
      <c r="J77" s="86"/>
      <c r="K77" s="86"/>
      <c r="L77" s="86"/>
      <c r="M77" s="86"/>
    </row>
  </sheetData>
  <mergeCells count="3">
    <mergeCell ref="A1:I1"/>
    <mergeCell ref="A3:K6"/>
    <mergeCell ref="B65:K65"/>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AD23A-0575-4AD6-AFAF-5E6010EC5A74}">
  <dimension ref="A1:M79"/>
  <sheetViews>
    <sheetView workbookViewId="0">
      <selection sqref="A1:XFD1048576"/>
    </sheetView>
  </sheetViews>
  <sheetFormatPr defaultRowHeight="15" x14ac:dyDescent="0.25"/>
  <cols>
    <col min="2" max="2" width="79" customWidth="1"/>
    <col min="5" max="5" width="0.7109375" customWidth="1"/>
    <col min="6" max="10" width="8.85546875" hidden="1" customWidth="1"/>
    <col min="11" max="11" width="4.42578125" hidden="1" customWidth="1"/>
  </cols>
  <sheetData>
    <row r="1" spans="1:11" ht="20.25" x14ac:dyDescent="0.3">
      <c r="A1" s="472" t="s">
        <v>1410</v>
      </c>
      <c r="B1" s="472"/>
      <c r="C1" s="472"/>
      <c r="D1" s="472"/>
      <c r="E1" s="472"/>
      <c r="F1" s="472"/>
      <c r="G1" s="472"/>
      <c r="H1" s="472"/>
      <c r="I1" s="472"/>
    </row>
    <row r="2" spans="1:11" x14ac:dyDescent="0.25">
      <c r="A2" s="499" t="s">
        <v>1512</v>
      </c>
      <c r="B2" s="499"/>
      <c r="C2" s="499"/>
      <c r="D2" s="499"/>
      <c r="E2" s="499"/>
      <c r="F2" s="499"/>
      <c r="G2" s="499"/>
      <c r="H2" s="499"/>
      <c r="I2" s="499"/>
      <c r="J2" s="499"/>
      <c r="K2" s="499"/>
    </row>
    <row r="3" spans="1:11" x14ac:dyDescent="0.25">
      <c r="A3" s="499"/>
      <c r="B3" s="499"/>
      <c r="C3" s="499"/>
      <c r="D3" s="499"/>
      <c r="E3" s="499"/>
      <c r="F3" s="499"/>
      <c r="G3" s="499"/>
      <c r="H3" s="499"/>
      <c r="I3" s="499"/>
      <c r="J3" s="499"/>
      <c r="K3" s="499"/>
    </row>
    <row r="4" spans="1:11" x14ac:dyDescent="0.25">
      <c r="A4" s="499"/>
      <c r="B4" s="499"/>
      <c r="C4" s="499"/>
      <c r="D4" s="499"/>
      <c r="E4" s="499"/>
      <c r="F4" s="499"/>
      <c r="G4" s="499"/>
      <c r="H4" s="499"/>
      <c r="I4" s="499"/>
      <c r="J4" s="499"/>
      <c r="K4" s="499"/>
    </row>
    <row r="5" spans="1:11" x14ac:dyDescent="0.25">
      <c r="A5" s="499"/>
      <c r="B5" s="499"/>
      <c r="C5" s="499"/>
      <c r="D5" s="499"/>
      <c r="E5" s="499"/>
      <c r="F5" s="499"/>
      <c r="G5" s="499"/>
      <c r="H5" s="499"/>
      <c r="I5" s="499"/>
      <c r="J5" s="499"/>
      <c r="K5" s="499"/>
    </row>
    <row r="6" spans="1:11" x14ac:dyDescent="0.25">
      <c r="A6" s="499"/>
      <c r="B6" s="499"/>
      <c r="C6" s="499"/>
      <c r="D6" s="499"/>
      <c r="E6" s="499"/>
      <c r="F6" s="499"/>
      <c r="G6" s="499"/>
      <c r="H6" s="499"/>
      <c r="I6" s="499"/>
      <c r="J6" s="499"/>
      <c r="K6" s="499"/>
    </row>
    <row r="7" spans="1:11" x14ac:dyDescent="0.25">
      <c r="A7" s="499"/>
      <c r="B7" s="499"/>
      <c r="C7" s="499"/>
      <c r="D7" s="499"/>
      <c r="E7" s="499"/>
      <c r="F7" s="499"/>
      <c r="G7" s="499"/>
      <c r="H7" s="499"/>
      <c r="I7" s="499"/>
      <c r="J7" s="499"/>
      <c r="K7" s="499"/>
    </row>
    <row r="9" spans="1:11" x14ac:dyDescent="0.25">
      <c r="B9" s="1" t="s">
        <v>649</v>
      </c>
      <c r="C9" s="1"/>
      <c r="D9" s="1"/>
      <c r="E9" s="1"/>
      <c r="F9" s="1"/>
      <c r="G9" s="1"/>
      <c r="H9" s="1"/>
    </row>
    <row r="10" spans="1:11" x14ac:dyDescent="0.25">
      <c r="B10" s="1" t="s">
        <v>4</v>
      </c>
      <c r="C10" s="1"/>
      <c r="D10" s="1"/>
      <c r="E10" s="1"/>
      <c r="F10" s="1"/>
      <c r="G10" s="1"/>
      <c r="H10" s="1"/>
    </row>
    <row r="11" spans="1:11" x14ac:dyDescent="0.25">
      <c r="B11" s="1" t="s">
        <v>6</v>
      </c>
      <c r="C11" s="1"/>
      <c r="D11" s="1"/>
      <c r="E11" s="1"/>
      <c r="F11" s="1"/>
      <c r="G11" s="1"/>
      <c r="H11" s="1"/>
    </row>
    <row r="12" spans="1:11" x14ac:dyDescent="0.25">
      <c r="B12" s="1" t="s">
        <v>7</v>
      </c>
      <c r="C12" s="1"/>
      <c r="D12" s="1"/>
      <c r="E12" s="1"/>
      <c r="F12" s="1"/>
      <c r="G12" s="1"/>
      <c r="H12" s="1"/>
    </row>
    <row r="13" spans="1:11" x14ac:dyDescent="0.25">
      <c r="B13" s="1" t="s">
        <v>8</v>
      </c>
      <c r="C13" s="1"/>
      <c r="D13" s="1"/>
      <c r="E13" s="1"/>
      <c r="F13" s="1"/>
      <c r="G13" s="1"/>
      <c r="H13" s="1"/>
    </row>
    <row r="14" spans="1:11" x14ac:dyDescent="0.25">
      <c r="B14" s="1" t="s">
        <v>9</v>
      </c>
      <c r="C14" s="1"/>
      <c r="D14" s="1"/>
      <c r="E14" s="1"/>
      <c r="F14" s="1"/>
      <c r="G14" s="1"/>
      <c r="H14" s="1"/>
    </row>
    <row r="17" spans="1:2" x14ac:dyDescent="0.25">
      <c r="A17" t="s">
        <v>10</v>
      </c>
      <c r="B17" t="s">
        <v>11</v>
      </c>
    </row>
    <row r="19" spans="1:2" x14ac:dyDescent="0.25">
      <c r="B19" t="s">
        <v>650</v>
      </c>
    </row>
    <row r="20" spans="1:2" x14ac:dyDescent="0.25">
      <c r="B20" t="s">
        <v>651</v>
      </c>
    </row>
    <row r="22" spans="1:2" x14ac:dyDescent="0.25">
      <c r="B22" s="24" t="s">
        <v>652</v>
      </c>
    </row>
    <row r="24" spans="1:2" x14ac:dyDescent="0.25">
      <c r="A24" t="s">
        <v>12</v>
      </c>
      <c r="B24" t="s">
        <v>13</v>
      </c>
    </row>
    <row r="26" spans="1:2" x14ac:dyDescent="0.25">
      <c r="B26" t="s">
        <v>653</v>
      </c>
    </row>
    <row r="27" spans="1:2" x14ac:dyDescent="0.25">
      <c r="B27" t="s">
        <v>654</v>
      </c>
    </row>
    <row r="29" spans="1:2" x14ac:dyDescent="0.25">
      <c r="B29" t="s">
        <v>655</v>
      </c>
    </row>
    <row r="30" spans="1:2" x14ac:dyDescent="0.25">
      <c r="B30" t="s">
        <v>656</v>
      </c>
    </row>
    <row r="32" spans="1:2" x14ac:dyDescent="0.25">
      <c r="B32" s="24" t="s">
        <v>657</v>
      </c>
    </row>
    <row r="34" spans="1:2" x14ac:dyDescent="0.25">
      <c r="A34" t="s">
        <v>15</v>
      </c>
      <c r="B34" t="s">
        <v>16</v>
      </c>
    </row>
    <row r="36" spans="1:2" x14ac:dyDescent="0.25">
      <c r="B36" t="s">
        <v>658</v>
      </c>
    </row>
    <row r="38" spans="1:2" x14ac:dyDescent="0.25">
      <c r="B38" t="s">
        <v>659</v>
      </c>
    </row>
    <row r="39" spans="1:2" x14ac:dyDescent="0.25">
      <c r="B39" t="s">
        <v>660</v>
      </c>
    </row>
    <row r="40" spans="1:2" ht="16.149999999999999" customHeight="1" x14ac:dyDescent="0.25"/>
    <row r="41" spans="1:2" x14ac:dyDescent="0.25">
      <c r="B41" t="s">
        <v>661</v>
      </c>
    </row>
    <row r="42" spans="1:2" x14ac:dyDescent="0.25">
      <c r="B42" t="s">
        <v>660</v>
      </c>
    </row>
    <row r="44" spans="1:2" x14ac:dyDescent="0.25">
      <c r="B44" s="24" t="s">
        <v>662</v>
      </c>
    </row>
    <row r="46" spans="1:2" x14ac:dyDescent="0.25">
      <c r="A46" t="s">
        <v>17</v>
      </c>
      <c r="B46" t="s">
        <v>18</v>
      </c>
    </row>
    <row r="48" spans="1:2" x14ac:dyDescent="0.25">
      <c r="B48" s="1" t="s">
        <v>663</v>
      </c>
    </row>
    <row r="49" spans="1:13" x14ac:dyDescent="0.25">
      <c r="B49" s="1" t="s">
        <v>664</v>
      </c>
    </row>
    <row r="50" spans="1:13" x14ac:dyDescent="0.25">
      <c r="B50" s="1"/>
    </row>
    <row r="52" spans="1:13" x14ac:dyDescent="0.25">
      <c r="B52" s="24" t="s">
        <v>665</v>
      </c>
      <c r="C52" s="1"/>
      <c r="D52" s="1"/>
      <c r="E52" s="1"/>
      <c r="F52" s="1"/>
      <c r="G52" s="1"/>
      <c r="H52" s="1"/>
      <c r="I52" s="1"/>
      <c r="J52" s="1"/>
      <c r="K52" s="1"/>
      <c r="L52" s="1"/>
      <c r="M52" s="1"/>
    </row>
    <row r="53" spans="1:13" x14ac:dyDescent="0.25">
      <c r="B53" s="1"/>
      <c r="C53" s="1"/>
      <c r="D53" s="1"/>
      <c r="E53" s="1"/>
      <c r="F53" s="1"/>
      <c r="G53" s="1"/>
      <c r="H53" s="1"/>
      <c r="I53" s="1"/>
      <c r="J53" s="1"/>
      <c r="K53" s="1"/>
      <c r="L53" s="1"/>
      <c r="M53" s="1"/>
    </row>
    <row r="54" spans="1:13" x14ac:dyDescent="0.25">
      <c r="A54" t="s">
        <v>20</v>
      </c>
      <c r="B54" t="s">
        <v>21</v>
      </c>
    </row>
    <row r="56" spans="1:13" x14ac:dyDescent="0.25">
      <c r="B56" t="s">
        <v>666</v>
      </c>
    </row>
    <row r="58" spans="1:13" x14ac:dyDescent="0.25">
      <c r="B58" t="s">
        <v>667</v>
      </c>
    </row>
    <row r="59" spans="1:13" x14ac:dyDescent="0.25">
      <c r="B59" t="s">
        <v>668</v>
      </c>
    </row>
    <row r="61" spans="1:13" x14ac:dyDescent="0.25">
      <c r="B61" t="s">
        <v>669</v>
      </c>
    </row>
    <row r="62" spans="1:13" x14ac:dyDescent="0.25">
      <c r="B62" t="s">
        <v>670</v>
      </c>
    </row>
    <row r="63" spans="1:13" x14ac:dyDescent="0.25">
      <c r="B63" s="1"/>
    </row>
    <row r="64" spans="1:13" x14ac:dyDescent="0.25">
      <c r="B64" s="363" t="s">
        <v>671</v>
      </c>
    </row>
    <row r="65" spans="1:13" x14ac:dyDescent="0.25">
      <c r="B65" s="1"/>
    </row>
    <row r="66" spans="1:13" x14ac:dyDescent="0.25">
      <c r="A66" t="s">
        <v>22</v>
      </c>
      <c r="B66" t="s">
        <v>23</v>
      </c>
    </row>
    <row r="67" spans="1:13" ht="39" x14ac:dyDescent="0.25">
      <c r="B67" s="78" t="s">
        <v>24</v>
      </c>
      <c r="C67" s="1"/>
      <c r="D67" s="1"/>
      <c r="E67" s="1"/>
      <c r="F67" s="1"/>
      <c r="G67" s="1"/>
      <c r="H67" s="1"/>
      <c r="I67" s="1"/>
      <c r="J67" s="1"/>
      <c r="K67" s="1"/>
      <c r="L67" s="1"/>
      <c r="M67" s="1"/>
    </row>
    <row r="68" spans="1:13" x14ac:dyDescent="0.25">
      <c r="B68" s="2"/>
    </row>
    <row r="69" spans="1:13" ht="40.5" customHeight="1" x14ac:dyDescent="0.25">
      <c r="B69" s="78" t="s">
        <v>672</v>
      </c>
      <c r="C69" s="78"/>
      <c r="D69" s="78"/>
      <c r="E69" s="78"/>
      <c r="F69" s="78"/>
      <c r="G69" s="78"/>
      <c r="H69" s="78"/>
      <c r="I69" s="78"/>
      <c r="J69" s="78"/>
      <c r="K69" s="78"/>
      <c r="L69" s="1"/>
      <c r="M69" s="1"/>
    </row>
    <row r="70" spans="1:13" x14ac:dyDescent="0.25">
      <c r="B70" s="78" t="s">
        <v>673</v>
      </c>
      <c r="C70" s="2"/>
      <c r="D70" s="2"/>
      <c r="E70" s="2"/>
      <c r="F70" s="2"/>
      <c r="G70" s="2"/>
      <c r="H70" s="2"/>
      <c r="I70" s="2"/>
      <c r="J70" s="2"/>
      <c r="K70" s="2"/>
      <c r="L70" s="1"/>
      <c r="M70" s="1"/>
    </row>
    <row r="71" spans="1:13" x14ac:dyDescent="0.25">
      <c r="B71" s="78"/>
      <c r="C71" s="2"/>
      <c r="D71" s="2"/>
      <c r="E71" s="2"/>
      <c r="F71" s="2"/>
      <c r="G71" s="2"/>
      <c r="H71" s="2"/>
      <c r="I71" s="2"/>
      <c r="J71" s="2"/>
      <c r="K71" s="2"/>
      <c r="L71" s="1"/>
      <c r="M71" s="1"/>
    </row>
    <row r="72" spans="1:13" x14ac:dyDescent="0.25">
      <c r="B72" s="78" t="s">
        <v>674</v>
      </c>
    </row>
    <row r="73" spans="1:13" x14ac:dyDescent="0.25">
      <c r="B73" s="2" t="s">
        <v>675</v>
      </c>
    </row>
    <row r="74" spans="1:13" x14ac:dyDescent="0.25">
      <c r="B74" s="2"/>
    </row>
    <row r="75" spans="1:13" x14ac:dyDescent="0.25">
      <c r="B75" s="45" t="s">
        <v>676</v>
      </c>
    </row>
    <row r="76" spans="1:13" x14ac:dyDescent="0.25">
      <c r="B76" s="1"/>
    </row>
    <row r="77" spans="1:13" x14ac:dyDescent="0.25">
      <c r="B77" s="1"/>
      <c r="C77" s="1"/>
      <c r="D77" s="1"/>
      <c r="E77" s="1"/>
      <c r="F77" s="1"/>
      <c r="G77" s="1"/>
      <c r="H77" s="1"/>
      <c r="I77" s="1"/>
      <c r="J77" s="1"/>
      <c r="K77" s="1"/>
      <c r="L77" s="1"/>
      <c r="M77" s="1"/>
    </row>
    <row r="78" spans="1:13" x14ac:dyDescent="0.25">
      <c r="C78" s="1"/>
      <c r="D78" s="1"/>
      <c r="E78" s="1"/>
      <c r="F78" s="1"/>
      <c r="G78" s="1"/>
      <c r="H78" s="1"/>
      <c r="I78" s="1"/>
      <c r="J78" s="1"/>
      <c r="K78" s="1"/>
      <c r="L78" s="1"/>
      <c r="M78" s="1"/>
    </row>
    <row r="79" spans="1:13" x14ac:dyDescent="0.25">
      <c r="C79" s="1"/>
      <c r="D79" s="1"/>
      <c r="E79" s="1"/>
      <c r="F79" s="1"/>
      <c r="G79" s="1"/>
      <c r="H79" s="1"/>
      <c r="I79" s="1"/>
      <c r="J79" s="1"/>
      <c r="K79" s="1"/>
      <c r="L79" s="1"/>
      <c r="M79" s="1"/>
    </row>
  </sheetData>
  <mergeCells count="2">
    <mergeCell ref="A1:I1"/>
    <mergeCell ref="A2:K7"/>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A354F-87F2-464D-80E0-940B8B7B9665}">
  <dimension ref="A1:N69"/>
  <sheetViews>
    <sheetView workbookViewId="0">
      <selection sqref="A1:XFD1048576"/>
    </sheetView>
  </sheetViews>
  <sheetFormatPr defaultColWidth="9.140625" defaultRowHeight="15" x14ac:dyDescent="0.25"/>
  <cols>
    <col min="2" max="2" width="19.140625" customWidth="1"/>
    <col min="3" max="3" width="18.140625" customWidth="1"/>
    <col min="5" max="5" width="10.28515625" customWidth="1"/>
    <col min="7" max="7" width="10.7109375" customWidth="1"/>
  </cols>
  <sheetData>
    <row r="1" spans="1:14" ht="20.25" x14ac:dyDescent="0.3">
      <c r="A1" s="472" t="s">
        <v>1513</v>
      </c>
      <c r="B1" s="472"/>
      <c r="C1" s="472"/>
      <c r="D1" s="472"/>
      <c r="E1" s="472"/>
      <c r="F1" s="472"/>
      <c r="G1" s="472"/>
      <c r="H1" s="472"/>
      <c r="I1" s="472"/>
    </row>
    <row r="2" spans="1:14" ht="15" customHeight="1" x14ac:dyDescent="0.25">
      <c r="A2" s="77"/>
      <c r="B2" s="77"/>
      <c r="C2" s="77"/>
      <c r="D2" s="77"/>
      <c r="E2" s="77"/>
      <c r="F2" s="77"/>
      <c r="G2" s="77"/>
      <c r="H2" s="77"/>
      <c r="I2" s="77"/>
      <c r="J2" s="77"/>
      <c r="K2" s="77"/>
      <c r="L2" s="3"/>
      <c r="M2" s="3"/>
    </row>
    <row r="3" spans="1:14" x14ac:dyDescent="0.25">
      <c r="A3" s="524" t="s">
        <v>677</v>
      </c>
      <c r="B3" s="524"/>
      <c r="C3" s="524"/>
      <c r="D3" s="524"/>
      <c r="E3" s="524"/>
      <c r="F3" s="524"/>
      <c r="G3" s="524"/>
      <c r="H3" s="524"/>
      <c r="I3" s="524"/>
      <c r="J3" s="77"/>
      <c r="K3" s="77"/>
      <c r="L3" s="3"/>
      <c r="M3" s="3"/>
    </row>
    <row r="4" spans="1:14" x14ac:dyDescent="0.25">
      <c r="A4" s="463" t="s">
        <v>678</v>
      </c>
      <c r="B4" s="463"/>
      <c r="C4" s="463"/>
      <c r="D4" s="463"/>
      <c r="E4" s="463"/>
      <c r="F4" s="463"/>
      <c r="G4" s="463"/>
      <c r="H4" s="463"/>
      <c r="I4" s="463"/>
      <c r="J4" s="77"/>
      <c r="K4" s="77"/>
      <c r="L4" s="3"/>
      <c r="M4" s="3"/>
    </row>
    <row r="5" spans="1:14" x14ac:dyDescent="0.25">
      <c r="A5" s="463" t="s">
        <v>679</v>
      </c>
      <c r="B5" s="463"/>
      <c r="C5" s="463"/>
      <c r="D5" s="463"/>
      <c r="E5" s="463"/>
      <c r="F5" s="463"/>
      <c r="G5" s="463"/>
      <c r="H5" s="463"/>
      <c r="I5" s="463"/>
      <c r="J5" s="77"/>
      <c r="K5" s="77"/>
      <c r="L5" s="3"/>
      <c r="M5" s="3"/>
    </row>
    <row r="6" spans="1:14" x14ac:dyDescent="0.25">
      <c r="A6" s="463" t="s">
        <v>680</v>
      </c>
      <c r="B6" s="463"/>
      <c r="C6" s="463"/>
      <c r="D6" s="463"/>
      <c r="E6" s="463"/>
      <c r="F6" s="463"/>
      <c r="G6" s="463"/>
      <c r="H6" s="463"/>
      <c r="I6" s="463"/>
    </row>
    <row r="7" spans="1:14" x14ac:dyDescent="0.25">
      <c r="A7" s="523" t="s">
        <v>681</v>
      </c>
      <c r="B7" s="469"/>
      <c r="C7" s="469"/>
      <c r="D7" s="469"/>
      <c r="E7" s="469"/>
      <c r="F7" s="469"/>
      <c r="G7" s="469"/>
      <c r="H7" s="469"/>
      <c r="I7" s="469"/>
    </row>
    <row r="8" spans="1:14" x14ac:dyDescent="0.25">
      <c r="A8" s="523" t="s">
        <v>682</v>
      </c>
      <c r="B8" s="469"/>
      <c r="C8" s="469"/>
      <c r="D8" s="469"/>
      <c r="E8" s="469"/>
      <c r="F8" s="469"/>
      <c r="G8" s="469"/>
      <c r="H8" s="469"/>
      <c r="I8" s="469"/>
    </row>
    <row r="9" spans="1:14" x14ac:dyDescent="0.25">
      <c r="A9" s="46"/>
    </row>
    <row r="11" spans="1:14" x14ac:dyDescent="0.25">
      <c r="A11" t="s">
        <v>10</v>
      </c>
      <c r="B11" t="s">
        <v>1514</v>
      </c>
    </row>
    <row r="12" spans="1:14" x14ac:dyDescent="0.25">
      <c r="B12" t="s">
        <v>557</v>
      </c>
      <c r="C12" s="364">
        <v>2889</v>
      </c>
      <c r="D12" t="s">
        <v>683</v>
      </c>
      <c r="N12" s="365"/>
    </row>
    <row r="13" spans="1:14" x14ac:dyDescent="0.25">
      <c r="B13" t="s">
        <v>156</v>
      </c>
      <c r="C13" s="366">
        <v>1.695E-2</v>
      </c>
      <c r="N13" s="367"/>
    </row>
    <row r="14" spans="1:14" x14ac:dyDescent="0.25">
      <c r="B14" t="s">
        <v>684</v>
      </c>
      <c r="C14" s="368">
        <f>C12*C13</f>
        <v>48.96855</v>
      </c>
      <c r="N14" s="365"/>
    </row>
    <row r="15" spans="1:14" x14ac:dyDescent="0.25">
      <c r="B15" s="369" t="s">
        <v>685</v>
      </c>
      <c r="C15" s="370"/>
      <c r="D15" s="370"/>
      <c r="E15" s="370"/>
      <c r="F15" s="371">
        <f>IF($C14&lt;10,MROUND($C14,0.05),IF($C14&lt;25,MROUND($C14,0.1),IF($C14&lt;100,MROUND($C14,0.25),ROUND($C14,0))))</f>
        <v>49</v>
      </c>
      <c r="G15" s="211" t="s">
        <v>686</v>
      </c>
    </row>
    <row r="16" spans="1:14" x14ac:dyDescent="0.25">
      <c r="B16" t="s">
        <v>1515</v>
      </c>
      <c r="D16" s="372"/>
      <c r="F16" s="371">
        <f>F15/1.3821</f>
        <v>35.453295709427678</v>
      </c>
      <c r="G16" s="211" t="s">
        <v>687</v>
      </c>
    </row>
    <row r="17" spans="1:7" x14ac:dyDescent="0.25">
      <c r="B17" s="369"/>
      <c r="C17" s="370"/>
      <c r="D17" s="370"/>
      <c r="E17" s="370"/>
      <c r="F17" s="371"/>
      <c r="G17" s="211"/>
    </row>
    <row r="20" spans="1:7" x14ac:dyDescent="0.25">
      <c r="A20" t="s">
        <v>12</v>
      </c>
      <c r="B20" t="s">
        <v>1516</v>
      </c>
    </row>
    <row r="21" spans="1:7" x14ac:dyDescent="0.25">
      <c r="B21" t="s">
        <v>557</v>
      </c>
      <c r="C21" s="364">
        <v>2889</v>
      </c>
      <c r="D21" t="s">
        <v>683</v>
      </c>
    </row>
    <row r="22" spans="1:7" x14ac:dyDescent="0.25">
      <c r="B22" t="s">
        <v>156</v>
      </c>
      <c r="C22" s="366">
        <v>1.695E-2</v>
      </c>
    </row>
    <row r="23" spans="1:7" x14ac:dyDescent="0.25">
      <c r="B23" t="s">
        <v>684</v>
      </c>
      <c r="C23" s="368">
        <f>C21*C22</f>
        <v>48.96855</v>
      </c>
    </row>
    <row r="24" spans="1:7" x14ac:dyDescent="0.25">
      <c r="B24" s="369" t="s">
        <v>685</v>
      </c>
      <c r="C24" s="370"/>
      <c r="D24" s="370"/>
      <c r="E24" s="370"/>
      <c r="F24" s="371">
        <f>IF($C23&lt;10,MROUND($C23,0.05),IF($C23&lt;25,MROUND($C23,0.1),IF($C23&lt;100,MROUND($C23,0.25),ROUND($C23,0))))</f>
        <v>49</v>
      </c>
      <c r="G24" s="211" t="s">
        <v>686</v>
      </c>
    </row>
    <row r="25" spans="1:7" x14ac:dyDescent="0.25">
      <c r="B25" t="s">
        <v>1515</v>
      </c>
      <c r="D25" s="372"/>
      <c r="F25" s="371">
        <f>F24/1.3821</f>
        <v>35.453295709427678</v>
      </c>
      <c r="G25" s="211" t="s">
        <v>687</v>
      </c>
    </row>
    <row r="26" spans="1:7" x14ac:dyDescent="0.25">
      <c r="B26" s="369"/>
      <c r="C26" s="370"/>
      <c r="D26" s="370"/>
      <c r="E26" s="370"/>
    </row>
    <row r="29" spans="1:7" x14ac:dyDescent="0.25">
      <c r="A29" t="s">
        <v>15</v>
      </c>
      <c r="B29" t="s">
        <v>1517</v>
      </c>
    </row>
    <row r="30" spans="1:7" x14ac:dyDescent="0.25">
      <c r="B30" s="373" t="s">
        <v>688</v>
      </c>
      <c r="D30" s="374" t="s">
        <v>1518</v>
      </c>
    </row>
    <row r="31" spans="1:7" x14ac:dyDescent="0.25">
      <c r="B31" t="s">
        <v>689</v>
      </c>
    </row>
    <row r="32" spans="1:7" x14ac:dyDescent="0.25">
      <c r="B32" t="s">
        <v>178</v>
      </c>
      <c r="C32" s="364">
        <v>2889</v>
      </c>
      <c r="D32" t="s">
        <v>683</v>
      </c>
    </row>
    <row r="33" spans="1:13" x14ac:dyDescent="0.25">
      <c r="B33" t="s">
        <v>156</v>
      </c>
      <c r="C33" s="366">
        <v>1.695E-2</v>
      </c>
    </row>
    <row r="34" spans="1:13" x14ac:dyDescent="0.25">
      <c r="B34" s="373" t="s">
        <v>690</v>
      </c>
      <c r="C34" s="375">
        <v>9</v>
      </c>
      <c r="D34" s="373"/>
    </row>
    <row r="35" spans="1:13" x14ac:dyDescent="0.25">
      <c r="B35" t="s">
        <v>684</v>
      </c>
      <c r="C35" s="368">
        <f>(C32*C33)*(C34/12)</f>
        <v>36.726412500000002</v>
      </c>
      <c r="D35" s="373" t="s">
        <v>1519</v>
      </c>
    </row>
    <row r="36" spans="1:13" x14ac:dyDescent="0.25">
      <c r="B36" t="s">
        <v>691</v>
      </c>
      <c r="C36" s="376" t="s">
        <v>1520</v>
      </c>
      <c r="F36" s="371" t="s">
        <v>1521</v>
      </c>
      <c r="G36" s="211" t="s">
        <v>692</v>
      </c>
    </row>
    <row r="40" spans="1:13" x14ac:dyDescent="0.25">
      <c r="A40" t="s">
        <v>17</v>
      </c>
      <c r="B40" t="s">
        <v>1522</v>
      </c>
    </row>
    <row r="41" spans="1:13" x14ac:dyDescent="0.25">
      <c r="B41" t="s">
        <v>178</v>
      </c>
      <c r="C41" s="364">
        <v>2889</v>
      </c>
      <c r="D41" t="s">
        <v>683</v>
      </c>
      <c r="J41" s="1"/>
      <c r="K41" s="1"/>
      <c r="L41" s="1"/>
      <c r="M41" s="1"/>
    </row>
    <row r="42" spans="1:13" x14ac:dyDescent="0.25">
      <c r="B42" s="76" t="s">
        <v>156</v>
      </c>
      <c r="C42" s="377">
        <v>1.695E-2</v>
      </c>
      <c r="D42" s="1"/>
      <c r="E42" s="1"/>
      <c r="F42" s="1"/>
      <c r="G42" s="1"/>
      <c r="H42" s="1"/>
      <c r="I42" s="1"/>
      <c r="J42" s="1"/>
      <c r="K42" s="1"/>
      <c r="L42" s="1"/>
      <c r="M42" s="1"/>
    </row>
    <row r="43" spans="1:13" x14ac:dyDescent="0.25">
      <c r="B43" s="1" t="s">
        <v>690</v>
      </c>
      <c r="C43" s="378">
        <v>7</v>
      </c>
      <c r="D43" s="1"/>
      <c r="E43" s="1"/>
      <c r="F43" s="1"/>
      <c r="G43" s="1"/>
      <c r="H43" s="1"/>
      <c r="I43" s="1"/>
      <c r="J43" s="1"/>
      <c r="K43" s="1"/>
      <c r="L43" s="1"/>
      <c r="M43" s="1"/>
    </row>
    <row r="44" spans="1:13" x14ac:dyDescent="0.25">
      <c r="B44" s="76" t="s">
        <v>684</v>
      </c>
      <c r="C44" s="379">
        <f>(C41*C42)*(C43/12)</f>
        <v>28.564987500000001</v>
      </c>
      <c r="D44" s="1"/>
      <c r="E44" s="1"/>
      <c r="F44" s="1"/>
      <c r="G44" s="1"/>
      <c r="H44" s="1"/>
      <c r="I44" s="1"/>
    </row>
    <row r="45" spans="1:13" x14ac:dyDescent="0.25">
      <c r="B45" s="369" t="s">
        <v>685</v>
      </c>
      <c r="C45" s="370"/>
      <c r="D45" s="370"/>
      <c r="E45" s="370"/>
      <c r="F45" s="371">
        <f>IF($C44&lt;10,MROUND($C44,0.05),IF($C44&lt;25,MROUND($C44,0.1),IF($C44&lt;100,MROUND($C44,0.25),ROUND($C44,0))))</f>
        <v>28.5</v>
      </c>
      <c r="G45" s="211" t="s">
        <v>686</v>
      </c>
    </row>
    <row r="46" spans="1:13" x14ac:dyDescent="0.25">
      <c r="B46" s="1" t="s">
        <v>1523</v>
      </c>
      <c r="D46" s="380"/>
      <c r="F46" s="371">
        <f>F45/1.3821</f>
        <v>20.620794443238548</v>
      </c>
      <c r="G46" s="211" t="s">
        <v>687</v>
      </c>
    </row>
    <row r="47" spans="1:13" x14ac:dyDescent="0.25">
      <c r="B47" s="369"/>
      <c r="C47" s="370"/>
      <c r="D47" s="370"/>
      <c r="E47" s="370"/>
      <c r="F47" s="376"/>
      <c r="G47" s="211"/>
    </row>
    <row r="50" spans="1:13" x14ac:dyDescent="0.25">
      <c r="A50" t="s">
        <v>20</v>
      </c>
      <c r="B50" t="s">
        <v>1524</v>
      </c>
    </row>
    <row r="51" spans="1:13" x14ac:dyDescent="0.25">
      <c r="B51" t="s">
        <v>1525</v>
      </c>
    </row>
    <row r="52" spans="1:13" x14ac:dyDescent="0.25">
      <c r="B52" s="373" t="s">
        <v>693</v>
      </c>
    </row>
    <row r="53" spans="1:13" x14ac:dyDescent="0.25">
      <c r="B53" t="s">
        <v>178</v>
      </c>
      <c r="C53" s="364">
        <v>3960</v>
      </c>
      <c r="D53" t="s">
        <v>683</v>
      </c>
    </row>
    <row r="54" spans="1:13" x14ac:dyDescent="0.25">
      <c r="B54" t="s">
        <v>156</v>
      </c>
      <c r="C54" s="366">
        <v>1.695E-2</v>
      </c>
    </row>
    <row r="55" spans="1:13" x14ac:dyDescent="0.25">
      <c r="B55" s="373" t="s">
        <v>690</v>
      </c>
      <c r="C55" s="8">
        <v>6</v>
      </c>
    </row>
    <row r="56" spans="1:13" x14ac:dyDescent="0.25">
      <c r="B56" t="s">
        <v>694</v>
      </c>
      <c r="C56" s="368">
        <f>(C53*C54)*(C55/12)</f>
        <v>33.561</v>
      </c>
      <c r="D56" s="373" t="s">
        <v>1526</v>
      </c>
      <c r="J56" s="1"/>
      <c r="K56" s="1"/>
      <c r="L56" s="1"/>
      <c r="M56" s="1"/>
    </row>
    <row r="57" spans="1:13" x14ac:dyDescent="0.25">
      <c r="B57" t="s">
        <v>635</v>
      </c>
      <c r="C57" s="8" t="s">
        <v>1527</v>
      </c>
      <c r="D57" s="381">
        <f>9</f>
        <v>9</v>
      </c>
      <c r="E57" s="382" t="s">
        <v>695</v>
      </c>
      <c r="J57" s="1"/>
      <c r="K57" s="1"/>
      <c r="L57" s="1"/>
      <c r="M57" s="1"/>
    </row>
    <row r="58" spans="1:13" x14ac:dyDescent="0.25">
      <c r="B58" t="s">
        <v>1528</v>
      </c>
      <c r="C58" s="8"/>
      <c r="D58" s="381">
        <f>D57/1.3821</f>
        <v>6.5118298241805945</v>
      </c>
      <c r="E58" s="382" t="s">
        <v>687</v>
      </c>
      <c r="J58" s="1"/>
      <c r="K58" s="1"/>
      <c r="L58" s="1"/>
      <c r="M58" s="1"/>
    </row>
    <row r="59" spans="1:13" x14ac:dyDescent="0.25">
      <c r="C59" s="8"/>
      <c r="D59" s="381"/>
      <c r="E59" s="382"/>
      <c r="J59" s="1"/>
      <c r="K59" s="1"/>
      <c r="L59" s="1"/>
      <c r="M59" s="1"/>
    </row>
    <row r="60" spans="1:13" x14ac:dyDescent="0.25">
      <c r="B60" s="1"/>
      <c r="C60" s="1"/>
      <c r="D60" s="1"/>
      <c r="E60" s="1"/>
      <c r="F60" s="1"/>
      <c r="G60" s="1"/>
      <c r="H60" s="1"/>
      <c r="I60" s="1"/>
      <c r="J60" s="2"/>
      <c r="K60" s="2"/>
      <c r="L60" s="1"/>
      <c r="M60" s="1"/>
    </row>
    <row r="61" spans="1:13" x14ac:dyDescent="0.25">
      <c r="A61" t="s">
        <v>22</v>
      </c>
      <c r="B61" t="s">
        <v>1529</v>
      </c>
    </row>
    <row r="62" spans="1:13" ht="18.75" x14ac:dyDescent="0.3">
      <c r="B62" s="383" t="s">
        <v>696</v>
      </c>
      <c r="C62" s="383"/>
      <c r="D62" s="383"/>
      <c r="E62" s="383"/>
      <c r="F62" s="383"/>
      <c r="G62" s="383"/>
      <c r="H62" s="383"/>
      <c r="I62" s="383"/>
    </row>
    <row r="63" spans="1:13" x14ac:dyDescent="0.25">
      <c r="B63" s="2"/>
      <c r="C63" s="2"/>
      <c r="D63" s="2"/>
      <c r="E63" s="2"/>
      <c r="F63" s="2"/>
      <c r="G63" s="2"/>
      <c r="H63" s="2"/>
      <c r="I63" s="2"/>
    </row>
    <row r="64" spans="1:13" x14ac:dyDescent="0.25">
      <c r="B64" t="s">
        <v>155</v>
      </c>
      <c r="C64" s="384">
        <v>1013</v>
      </c>
      <c r="D64" s="76" t="s">
        <v>683</v>
      </c>
      <c r="E64" s="2"/>
      <c r="F64" s="2"/>
      <c r="G64" s="2"/>
      <c r="H64" s="2"/>
      <c r="I64" s="2"/>
    </row>
    <row r="65" spans="2:13" x14ac:dyDescent="0.25">
      <c r="B65" t="s">
        <v>156</v>
      </c>
      <c r="C65" s="366">
        <v>1.695E-2</v>
      </c>
    </row>
    <row r="66" spans="2:13" x14ac:dyDescent="0.25">
      <c r="B66" t="s">
        <v>684</v>
      </c>
      <c r="C66" s="385">
        <f>C64*C65</f>
        <v>17.170349999999999</v>
      </c>
    </row>
    <row r="67" spans="2:13" x14ac:dyDescent="0.25">
      <c r="B67" s="369" t="s">
        <v>697</v>
      </c>
      <c r="C67" s="370"/>
      <c r="D67" s="370"/>
      <c r="E67" s="370"/>
      <c r="F67" s="386">
        <f>IF($C66&lt;10,MROUND($C66,0.05),IF($C66&lt;25,MROUND($C66,0.1),IF($C66&lt;100,MROUND($C66,0.25),ROUND($C66,0))))</f>
        <v>17.2</v>
      </c>
      <c r="G67" s="211" t="s">
        <v>686</v>
      </c>
    </row>
    <row r="68" spans="2:13" x14ac:dyDescent="0.25">
      <c r="B68" t="s">
        <v>1530</v>
      </c>
      <c r="D68" s="380"/>
      <c r="F68" s="386">
        <f>F67/1.3821</f>
        <v>12.444830330656247</v>
      </c>
      <c r="G68" s="211" t="s">
        <v>687</v>
      </c>
      <c r="J68" s="1"/>
      <c r="K68" s="1"/>
      <c r="L68" s="1"/>
      <c r="M68" s="1"/>
    </row>
    <row r="69" spans="2:13" x14ac:dyDescent="0.25">
      <c r="J69" s="1"/>
      <c r="K69" s="1"/>
      <c r="L69" s="1"/>
      <c r="M69" s="1"/>
    </row>
  </sheetData>
  <mergeCells count="7">
    <mergeCell ref="A7:I7"/>
    <mergeCell ref="A8:I8"/>
    <mergeCell ref="A1:I1"/>
    <mergeCell ref="A3:I3"/>
    <mergeCell ref="A4:I4"/>
    <mergeCell ref="A5:I5"/>
    <mergeCell ref="A6:I6"/>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ACAB8-8336-47EC-9C86-316078C43651}">
  <dimension ref="A1:M93"/>
  <sheetViews>
    <sheetView workbookViewId="0">
      <selection sqref="A1:XFD1048576"/>
    </sheetView>
  </sheetViews>
  <sheetFormatPr defaultColWidth="9.140625" defaultRowHeight="15" x14ac:dyDescent="0.25"/>
  <cols>
    <col min="1" max="4" width="9.140625" style="84"/>
    <col min="5" max="5" width="10.7109375" style="84" bestFit="1" customWidth="1"/>
    <col min="6" max="16384" width="9.140625" style="84"/>
  </cols>
  <sheetData>
    <row r="1" spans="1:13" ht="21" x14ac:dyDescent="0.35">
      <c r="A1" s="457" t="s">
        <v>1531</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5" x14ac:dyDescent="0.25">
      <c r="A17" s="84" t="s">
        <v>10</v>
      </c>
      <c r="B17" s="84" t="s">
        <v>11</v>
      </c>
    </row>
    <row r="19" spans="1:5" x14ac:dyDescent="0.25">
      <c r="C19" s="1" t="s">
        <v>3</v>
      </c>
      <c r="D19" s="1"/>
      <c r="E19" s="1"/>
    </row>
    <row r="20" spans="1:5" x14ac:dyDescent="0.25">
      <c r="C20" s="1" t="s">
        <v>557</v>
      </c>
      <c r="D20" s="1"/>
      <c r="E20" s="387">
        <v>1044</v>
      </c>
    </row>
    <row r="21" spans="1:5" x14ac:dyDescent="0.25">
      <c r="C21" s="1" t="s">
        <v>849</v>
      </c>
      <c r="D21" s="1"/>
      <c r="E21" s="71">
        <v>1.695E-2</v>
      </c>
    </row>
    <row r="22" spans="1:5" x14ac:dyDescent="0.25">
      <c r="C22" s="1" t="s">
        <v>850</v>
      </c>
      <c r="D22" s="1"/>
      <c r="E22" s="288">
        <v>17.7</v>
      </c>
    </row>
    <row r="27" spans="1:5" x14ac:dyDescent="0.25">
      <c r="A27" s="84" t="s">
        <v>12</v>
      </c>
      <c r="B27" s="84" t="s">
        <v>13</v>
      </c>
    </row>
    <row r="29" spans="1:5" x14ac:dyDescent="0.25">
      <c r="C29" s="1" t="s">
        <v>3</v>
      </c>
      <c r="D29" s="1"/>
      <c r="E29" s="1"/>
    </row>
    <row r="30" spans="1:5" x14ac:dyDescent="0.25">
      <c r="C30" s="1" t="s">
        <v>557</v>
      </c>
      <c r="D30" s="1"/>
      <c r="E30" s="387">
        <v>1044</v>
      </c>
    </row>
    <row r="31" spans="1:5" x14ac:dyDescent="0.25">
      <c r="C31" s="1" t="s">
        <v>849</v>
      </c>
      <c r="D31" s="1"/>
      <c r="E31" s="71">
        <v>1.695E-2</v>
      </c>
    </row>
    <row r="32" spans="1:5" x14ac:dyDescent="0.25">
      <c r="C32" s="1" t="s">
        <v>850</v>
      </c>
      <c r="D32" s="1"/>
      <c r="E32" s="288">
        <v>17.7</v>
      </c>
    </row>
    <row r="37" spans="1:7" x14ac:dyDescent="0.25">
      <c r="A37" s="84" t="s">
        <v>15</v>
      </c>
      <c r="B37" s="84" t="s">
        <v>16</v>
      </c>
    </row>
    <row r="39" spans="1:7" x14ac:dyDescent="0.25">
      <c r="C39" s="1" t="s">
        <v>3</v>
      </c>
      <c r="D39" s="1"/>
      <c r="E39" s="1"/>
      <c r="F39" t="s">
        <v>851</v>
      </c>
      <c r="G39"/>
    </row>
    <row r="40" spans="1:7" x14ac:dyDescent="0.25">
      <c r="C40" s="1" t="s">
        <v>557</v>
      </c>
      <c r="D40" s="1"/>
      <c r="E40" s="387">
        <v>783</v>
      </c>
      <c r="F40"/>
      <c r="G40"/>
    </row>
    <row r="41" spans="1:7" x14ac:dyDescent="0.25">
      <c r="C41" s="1" t="s">
        <v>849</v>
      </c>
      <c r="D41" s="1"/>
      <c r="E41" s="71">
        <v>1.695E-2</v>
      </c>
      <c r="F41"/>
      <c r="G41"/>
    </row>
    <row r="42" spans="1:7" x14ac:dyDescent="0.25">
      <c r="C42" s="1" t="s">
        <v>850</v>
      </c>
      <c r="D42" s="1"/>
      <c r="E42" s="288">
        <v>13.27</v>
      </c>
      <c r="F42"/>
      <c r="G42"/>
    </row>
    <row r="43" spans="1:7" x14ac:dyDescent="0.25">
      <c r="C43"/>
      <c r="D43"/>
      <c r="E43"/>
      <c r="F43"/>
      <c r="G43"/>
    </row>
    <row r="44" spans="1:7" x14ac:dyDescent="0.25">
      <c r="C44"/>
      <c r="D44"/>
      <c r="E44"/>
      <c r="F44"/>
      <c r="G44"/>
    </row>
    <row r="45" spans="1:7" x14ac:dyDescent="0.25">
      <c r="C45" s="1" t="s">
        <v>3</v>
      </c>
      <c r="D45" s="1"/>
      <c r="E45" s="1"/>
      <c r="F45" t="s">
        <v>852</v>
      </c>
      <c r="G45"/>
    </row>
    <row r="46" spans="1:7" x14ac:dyDescent="0.25">
      <c r="C46" s="1" t="s">
        <v>557</v>
      </c>
      <c r="D46" s="1"/>
      <c r="E46" s="387">
        <v>783</v>
      </c>
      <c r="F46"/>
      <c r="G46"/>
    </row>
    <row r="47" spans="1:7" x14ac:dyDescent="0.25">
      <c r="C47" s="1" t="s">
        <v>849</v>
      </c>
      <c r="D47" s="1"/>
      <c r="E47" s="71">
        <v>1.695E-2</v>
      </c>
      <c r="F47"/>
      <c r="G47"/>
    </row>
    <row r="48" spans="1:7" x14ac:dyDescent="0.25">
      <c r="C48" s="1" t="s">
        <v>850</v>
      </c>
      <c r="D48" s="1"/>
      <c r="E48" s="288">
        <v>13.27</v>
      </c>
      <c r="F48"/>
      <c r="G48"/>
    </row>
    <row r="49" spans="1:13" x14ac:dyDescent="0.25">
      <c r="C49"/>
      <c r="D49"/>
      <c r="E49"/>
      <c r="F49"/>
      <c r="G49"/>
    </row>
    <row r="50" spans="1:13" x14ac:dyDescent="0.25">
      <c r="C50"/>
      <c r="D50"/>
      <c r="E50" s="4" t="s">
        <v>853</v>
      </c>
      <c r="F50" s="388">
        <v>0</v>
      </c>
      <c r="G50"/>
    </row>
    <row r="51" spans="1:13" x14ac:dyDescent="0.25">
      <c r="C51"/>
      <c r="D51"/>
      <c r="E51"/>
      <c r="F51"/>
      <c r="G51"/>
    </row>
    <row r="52" spans="1:13" x14ac:dyDescent="0.25">
      <c r="A52" s="84" t="s">
        <v>17</v>
      </c>
      <c r="B52" s="84" t="s">
        <v>18</v>
      </c>
    </row>
    <row r="54" spans="1:13" x14ac:dyDescent="0.25">
      <c r="B54" s="86"/>
      <c r="C54" s="1" t="s">
        <v>19</v>
      </c>
      <c r="D54" s="1"/>
      <c r="E54" s="1"/>
      <c r="F54" s="86"/>
      <c r="G54" s="86"/>
      <c r="H54" s="86"/>
      <c r="I54" s="86"/>
      <c r="J54" s="86"/>
      <c r="K54" s="86"/>
      <c r="L54" s="86"/>
      <c r="M54" s="86"/>
    </row>
    <row r="55" spans="1:13" x14ac:dyDescent="0.25">
      <c r="B55" s="86"/>
      <c r="C55" s="1" t="s">
        <v>557</v>
      </c>
      <c r="D55" s="1"/>
      <c r="E55" s="387">
        <v>729</v>
      </c>
      <c r="F55" s="86"/>
      <c r="G55" s="86"/>
      <c r="H55" s="86"/>
      <c r="I55" s="86"/>
      <c r="J55" s="86"/>
      <c r="K55" s="86"/>
      <c r="L55" s="86"/>
      <c r="M55" s="86"/>
    </row>
    <row r="56" spans="1:13" x14ac:dyDescent="0.25">
      <c r="B56" s="86"/>
      <c r="C56" s="1" t="s">
        <v>849</v>
      </c>
      <c r="D56" s="1"/>
      <c r="E56" s="71">
        <v>1.695E-2</v>
      </c>
      <c r="F56" s="86"/>
      <c r="G56" s="86"/>
      <c r="H56" s="86"/>
      <c r="I56" s="86"/>
      <c r="J56" s="86"/>
      <c r="K56" s="86"/>
      <c r="L56" s="86"/>
      <c r="M56" s="86"/>
    </row>
    <row r="57" spans="1:13" x14ac:dyDescent="0.25">
      <c r="C57" s="1" t="s">
        <v>850</v>
      </c>
      <c r="D57" s="1"/>
      <c r="E57" s="288">
        <v>12.36</v>
      </c>
    </row>
    <row r="58" spans="1:13" x14ac:dyDescent="0.25">
      <c r="C58"/>
      <c r="D58"/>
      <c r="E58"/>
    </row>
    <row r="62" spans="1:13" x14ac:dyDescent="0.25">
      <c r="A62" s="84" t="s">
        <v>20</v>
      </c>
      <c r="B62" s="84" t="s">
        <v>21</v>
      </c>
    </row>
    <row r="64" spans="1:13" x14ac:dyDescent="0.25">
      <c r="C64" s="1" t="s">
        <v>19</v>
      </c>
      <c r="D64" s="1"/>
      <c r="E64" s="1"/>
      <c r="F64" s="76" t="s">
        <v>854</v>
      </c>
      <c r="G64"/>
      <c r="H64"/>
    </row>
    <row r="65" spans="1:13" x14ac:dyDescent="0.25">
      <c r="C65" s="1" t="s">
        <v>557</v>
      </c>
      <c r="D65" s="1"/>
      <c r="E65" s="387">
        <v>486</v>
      </c>
      <c r="F65" s="1"/>
      <c r="G65"/>
      <c r="H65"/>
    </row>
    <row r="66" spans="1:13" x14ac:dyDescent="0.25">
      <c r="C66" s="1" t="s">
        <v>849</v>
      </c>
      <c r="D66" s="1"/>
      <c r="E66" s="71">
        <v>1.695E-2</v>
      </c>
      <c r="F66" s="1"/>
      <c r="G66"/>
      <c r="H66"/>
    </row>
    <row r="67" spans="1:13" x14ac:dyDescent="0.25">
      <c r="C67" s="1" t="s">
        <v>850</v>
      </c>
      <c r="D67" s="1"/>
      <c r="E67" s="288">
        <v>8.24</v>
      </c>
      <c r="F67"/>
      <c r="G67"/>
      <c r="H67"/>
    </row>
    <row r="68" spans="1:13" x14ac:dyDescent="0.25">
      <c r="C68" s="1"/>
      <c r="D68" s="1"/>
      <c r="E68" s="288"/>
      <c r="F68"/>
      <c r="G68"/>
      <c r="H68"/>
    </row>
    <row r="69" spans="1:13" x14ac:dyDescent="0.25">
      <c r="C69" s="1"/>
      <c r="D69" s="1"/>
      <c r="E69" s="288"/>
      <c r="F69"/>
      <c r="G69"/>
      <c r="H69"/>
    </row>
    <row r="70" spans="1:13" x14ac:dyDescent="0.25">
      <c r="C70" s="1" t="s">
        <v>3</v>
      </c>
      <c r="D70" s="1"/>
      <c r="E70" s="1"/>
      <c r="F70" t="s">
        <v>855</v>
      </c>
      <c r="G70"/>
      <c r="H70"/>
    </row>
    <row r="71" spans="1:13" x14ac:dyDescent="0.25">
      <c r="C71" s="1" t="s">
        <v>557</v>
      </c>
      <c r="D71" s="1"/>
      <c r="E71" s="387">
        <v>522</v>
      </c>
      <c r="F71"/>
      <c r="G71"/>
      <c r="H71"/>
    </row>
    <row r="72" spans="1:13" x14ac:dyDescent="0.25">
      <c r="C72" s="1" t="s">
        <v>849</v>
      </c>
      <c r="D72" s="1"/>
      <c r="E72" s="71">
        <v>1.695E-2</v>
      </c>
      <c r="F72"/>
      <c r="G72"/>
      <c r="H72"/>
    </row>
    <row r="73" spans="1:13" x14ac:dyDescent="0.25">
      <c r="C73" s="1" t="s">
        <v>850</v>
      </c>
      <c r="D73" s="1"/>
      <c r="E73" s="288">
        <v>8.85</v>
      </c>
      <c r="F73"/>
      <c r="G73" s="1"/>
      <c r="H73"/>
    </row>
    <row r="74" spans="1:13" x14ac:dyDescent="0.25">
      <c r="C74" s="1"/>
      <c r="D74" s="1"/>
      <c r="E74" s="288"/>
      <c r="F74"/>
      <c r="G74" s="1"/>
      <c r="H74"/>
    </row>
    <row r="75" spans="1:13" x14ac:dyDescent="0.25">
      <c r="C75" s="1"/>
      <c r="D75" s="1"/>
      <c r="E75" s="4" t="s">
        <v>853</v>
      </c>
      <c r="F75" s="389">
        <v>0.61</v>
      </c>
      <c r="G75"/>
      <c r="H75"/>
    </row>
    <row r="76" spans="1:13" x14ac:dyDescent="0.25">
      <c r="C76" s="1"/>
      <c r="D76" s="1"/>
      <c r="E76" s="1"/>
      <c r="F76" s="1"/>
      <c r="G76" s="1"/>
      <c r="H76" s="1"/>
    </row>
    <row r="78" spans="1:13" x14ac:dyDescent="0.25">
      <c r="B78" s="86"/>
      <c r="C78" s="86"/>
      <c r="D78" s="86"/>
      <c r="E78" s="86"/>
      <c r="F78" s="86"/>
      <c r="G78" s="86"/>
      <c r="H78" s="86"/>
      <c r="I78" s="86"/>
      <c r="J78" s="86"/>
      <c r="K78" s="86"/>
      <c r="L78" s="86"/>
      <c r="M78" s="86"/>
    </row>
    <row r="79" spans="1:13" x14ac:dyDescent="0.25">
      <c r="B79" s="86"/>
      <c r="C79" s="86"/>
      <c r="D79" s="86"/>
      <c r="E79" s="86"/>
      <c r="F79" s="86"/>
      <c r="G79" s="86"/>
      <c r="H79" s="86"/>
      <c r="I79" s="86"/>
      <c r="J79" s="86"/>
      <c r="K79" s="86"/>
      <c r="L79" s="86"/>
      <c r="M79" s="86"/>
    </row>
    <row r="80" spans="1:13" x14ac:dyDescent="0.25">
      <c r="A80" s="84" t="s">
        <v>22</v>
      </c>
      <c r="B80" s="84" t="s">
        <v>23</v>
      </c>
    </row>
    <row r="81" spans="2:13" ht="40.5" customHeight="1" x14ac:dyDescent="0.25">
      <c r="B81" s="459" t="s">
        <v>24</v>
      </c>
      <c r="C81" s="459"/>
      <c r="D81" s="459"/>
      <c r="E81" s="459"/>
      <c r="F81" s="459"/>
      <c r="G81" s="459"/>
      <c r="H81" s="459"/>
      <c r="I81" s="459"/>
      <c r="J81" s="459"/>
      <c r="K81" s="459"/>
      <c r="L81" s="86"/>
      <c r="M81" s="86"/>
    </row>
    <row r="82" spans="2:13" x14ac:dyDescent="0.25">
      <c r="B82" s="88"/>
      <c r="C82" s="88"/>
      <c r="D82" s="88"/>
      <c r="E82" s="88"/>
      <c r="F82" s="88"/>
      <c r="G82" s="88"/>
      <c r="H82" s="88"/>
      <c r="I82" s="88"/>
      <c r="J82" s="88"/>
      <c r="K82" s="88"/>
      <c r="L82" s="86"/>
      <c r="M82" s="86"/>
    </row>
    <row r="83" spans="2:13" x14ac:dyDescent="0.25">
      <c r="B83" s="2" t="s">
        <v>856</v>
      </c>
      <c r="C83"/>
      <c r="D83"/>
      <c r="E83"/>
      <c r="F83" s="88"/>
      <c r="G83" s="88"/>
      <c r="H83" s="88"/>
      <c r="I83" s="88"/>
      <c r="J83" s="88"/>
      <c r="K83" s="88"/>
      <c r="L83" s="86"/>
      <c r="M83" s="86"/>
    </row>
    <row r="84" spans="2:13" x14ac:dyDescent="0.25">
      <c r="B84"/>
      <c r="C84" t="s">
        <v>857</v>
      </c>
      <c r="D84"/>
      <c r="E84"/>
    </row>
    <row r="85" spans="2:13" x14ac:dyDescent="0.25">
      <c r="B85"/>
      <c r="C85"/>
      <c r="D85"/>
      <c r="E85"/>
    </row>
    <row r="86" spans="2:13" x14ac:dyDescent="0.25">
      <c r="B86"/>
      <c r="C86" t="s">
        <v>858</v>
      </c>
      <c r="D86"/>
      <c r="E86" s="242">
        <v>66</v>
      </c>
    </row>
    <row r="87" spans="2:13" x14ac:dyDescent="0.25">
      <c r="B87"/>
      <c r="C87" t="s">
        <v>859</v>
      </c>
      <c r="D87"/>
      <c r="E87" s="242">
        <v>70</v>
      </c>
    </row>
    <row r="88" spans="2:13" x14ac:dyDescent="0.25">
      <c r="B88"/>
      <c r="C88" t="s">
        <v>860</v>
      </c>
      <c r="D88"/>
      <c r="E88" s="242">
        <v>136</v>
      </c>
    </row>
    <row r="89" spans="2:13" x14ac:dyDescent="0.25">
      <c r="B89"/>
      <c r="C89" s="1" t="s">
        <v>849</v>
      </c>
      <c r="D89" s="1"/>
      <c r="E89" s="71">
        <v>1.695E-2</v>
      </c>
    </row>
    <row r="90" spans="2:13" x14ac:dyDescent="0.25">
      <c r="B90"/>
      <c r="C90" s="1" t="s">
        <v>850</v>
      </c>
      <c r="D90" s="1"/>
      <c r="E90" s="288">
        <v>2.31</v>
      </c>
    </row>
    <row r="91" spans="2:13" x14ac:dyDescent="0.25">
      <c r="B91" s="86"/>
      <c r="C91" s="86"/>
      <c r="D91" s="86"/>
      <c r="E91" s="86"/>
      <c r="F91" s="86"/>
      <c r="G91" s="86"/>
      <c r="H91" s="86"/>
      <c r="I91" s="86"/>
      <c r="J91" s="86"/>
      <c r="K91" s="86"/>
      <c r="L91" s="86"/>
      <c r="M91" s="86"/>
    </row>
    <row r="92" spans="2:13" x14ac:dyDescent="0.25">
      <c r="B92" s="86"/>
      <c r="C92" s="86"/>
      <c r="D92" s="86"/>
      <c r="E92" s="86"/>
      <c r="F92" s="86"/>
      <c r="G92" s="86"/>
      <c r="H92" s="86"/>
      <c r="I92" s="86"/>
      <c r="J92" s="86"/>
      <c r="K92" s="86"/>
      <c r="L92" s="86"/>
      <c r="M92" s="86"/>
    </row>
    <row r="93" spans="2:13" x14ac:dyDescent="0.25">
      <c r="B93" s="86"/>
      <c r="C93" s="86"/>
      <c r="D93" s="86"/>
      <c r="E93" s="86"/>
      <c r="F93" s="86"/>
      <c r="G93" s="86"/>
      <c r="H93" s="86"/>
      <c r="I93" s="86"/>
      <c r="J93" s="86"/>
      <c r="K93" s="86"/>
      <c r="L93" s="86"/>
      <c r="M93" s="86"/>
    </row>
  </sheetData>
  <mergeCells count="3">
    <mergeCell ref="A1:I1"/>
    <mergeCell ref="A3:K6"/>
    <mergeCell ref="B81:K8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80882-7637-4675-B98D-6E4D87012A7B}">
  <dimension ref="A1:M140"/>
  <sheetViews>
    <sheetView workbookViewId="0">
      <selection activeCell="A2" sqref="A2"/>
    </sheetView>
  </sheetViews>
  <sheetFormatPr defaultColWidth="9.140625" defaultRowHeight="15" x14ac:dyDescent="0.25"/>
  <cols>
    <col min="1" max="2" width="9.140625" style="84"/>
    <col min="3" max="3" width="14.28515625" style="84" customWidth="1"/>
    <col min="4" max="4" width="17.28515625" style="84" customWidth="1"/>
    <col min="5" max="5" width="14.42578125" style="84" customWidth="1"/>
    <col min="6" max="16384" width="9.140625" style="84"/>
  </cols>
  <sheetData>
    <row r="1" spans="1:13" ht="21" x14ac:dyDescent="0.35">
      <c r="A1" s="457" t="s">
        <v>1533</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7" x14ac:dyDescent="0.25">
      <c r="A17" s="84" t="s">
        <v>10</v>
      </c>
      <c r="B17" s="84" t="s">
        <v>11</v>
      </c>
    </row>
    <row r="18" spans="1:7" x14ac:dyDescent="0.25">
      <c r="A18" s="13"/>
      <c r="B18" s="13" t="s">
        <v>861</v>
      </c>
      <c r="C18" s="13"/>
      <c r="D18" s="13" t="s">
        <v>69</v>
      </c>
      <c r="E18" s="13"/>
      <c r="F18" s="13"/>
      <c r="G18" s="13"/>
    </row>
    <row r="19" spans="1:7" x14ac:dyDescent="0.25">
      <c r="A19" s="13"/>
      <c r="B19" s="13" t="s">
        <v>179</v>
      </c>
      <c r="C19" s="13"/>
      <c r="D19" s="13"/>
      <c r="E19" s="390">
        <v>2204</v>
      </c>
      <c r="F19" s="13"/>
      <c r="G19" s="13"/>
    </row>
    <row r="20" spans="1:7" x14ac:dyDescent="0.25">
      <c r="A20" s="13"/>
      <c r="B20" s="13" t="s">
        <v>133</v>
      </c>
      <c r="C20" s="13"/>
      <c r="D20" s="13"/>
      <c r="E20" s="13">
        <v>1.695E-2</v>
      </c>
      <c r="F20" s="13"/>
      <c r="G20" s="13"/>
    </row>
    <row r="21" spans="1:7" x14ac:dyDescent="0.25">
      <c r="A21" s="13"/>
      <c r="B21" s="13" t="s">
        <v>862</v>
      </c>
      <c r="C21" s="13"/>
      <c r="D21" s="13"/>
      <c r="E21" s="390">
        <v>37.47</v>
      </c>
      <c r="F21" s="13" t="s">
        <v>863</v>
      </c>
      <c r="G21" s="13"/>
    </row>
    <row r="22" spans="1:7" x14ac:dyDescent="0.25">
      <c r="A22" s="13"/>
      <c r="B22" s="13"/>
      <c r="C22" s="13"/>
      <c r="D22" s="13"/>
      <c r="E22" s="13"/>
      <c r="F22" s="13"/>
      <c r="G22" s="13"/>
    </row>
    <row r="23" spans="1:7" x14ac:dyDescent="0.25">
      <c r="A23" s="13"/>
      <c r="B23" s="13" t="s">
        <v>864</v>
      </c>
      <c r="C23" s="13"/>
      <c r="D23" s="13"/>
      <c r="E23" s="13"/>
      <c r="F23" s="13"/>
      <c r="G23" s="13"/>
    </row>
    <row r="24" spans="1:7" x14ac:dyDescent="0.25">
      <c r="A24" s="13"/>
      <c r="B24" s="13" t="s">
        <v>261</v>
      </c>
      <c r="C24" s="13"/>
      <c r="D24" s="13"/>
      <c r="E24" s="390">
        <v>187966</v>
      </c>
      <c r="F24" s="12" t="s">
        <v>686</v>
      </c>
      <c r="G24" s="13"/>
    </row>
    <row r="25" spans="1:7" x14ac:dyDescent="0.25">
      <c r="A25" s="13"/>
      <c r="B25" s="13" t="s">
        <v>865</v>
      </c>
      <c r="C25" s="13"/>
      <c r="D25" s="13" t="s">
        <v>866</v>
      </c>
      <c r="E25" s="13">
        <v>2.8230000000000002E-2</v>
      </c>
      <c r="F25" s="13"/>
      <c r="G25" s="13"/>
    </row>
    <row r="26" spans="1:7" x14ac:dyDescent="0.25">
      <c r="A26" s="13"/>
      <c r="B26" s="13" t="s">
        <v>276</v>
      </c>
      <c r="C26" s="13"/>
      <c r="D26" s="13" t="s">
        <v>866</v>
      </c>
      <c r="E26" s="13">
        <v>1.695E-2</v>
      </c>
      <c r="F26" s="13"/>
      <c r="G26" s="13"/>
    </row>
    <row r="27" spans="1:7" x14ac:dyDescent="0.25">
      <c r="A27" s="13"/>
      <c r="B27" s="13" t="s">
        <v>867</v>
      </c>
      <c r="C27" s="13"/>
      <c r="D27" s="13"/>
      <c r="E27" s="390">
        <v>89.94</v>
      </c>
      <c r="F27" s="13"/>
      <c r="G27" s="13"/>
    </row>
    <row r="28" spans="1:7" x14ac:dyDescent="0.25">
      <c r="A28" s="13"/>
      <c r="B28" s="13"/>
      <c r="C28" s="13"/>
      <c r="D28" s="13"/>
      <c r="E28" s="13"/>
      <c r="F28" s="13"/>
      <c r="G28" s="13"/>
    </row>
    <row r="29" spans="1:7" x14ac:dyDescent="0.25">
      <c r="A29" s="13"/>
      <c r="B29" s="13" t="s">
        <v>868</v>
      </c>
      <c r="C29" s="13"/>
      <c r="D29" s="13"/>
      <c r="E29" s="391">
        <v>126.94</v>
      </c>
      <c r="F29" s="12" t="s">
        <v>686</v>
      </c>
      <c r="G29" s="13"/>
    </row>
    <row r="30" spans="1:7" x14ac:dyDescent="0.25">
      <c r="A30" s="13"/>
      <c r="B30" s="24" t="s">
        <v>869</v>
      </c>
      <c r="C30" s="13"/>
      <c r="D30" s="13"/>
      <c r="E30" s="13"/>
      <c r="F30" s="13"/>
      <c r="G30" s="13"/>
    </row>
    <row r="32" spans="1:7" x14ac:dyDescent="0.25">
      <c r="A32" s="84" t="s">
        <v>12</v>
      </c>
      <c r="B32" s="84" t="s">
        <v>13</v>
      </c>
    </row>
    <row r="34" spans="1:7" x14ac:dyDescent="0.25">
      <c r="A34" s="13" t="s">
        <v>861</v>
      </c>
      <c r="B34" s="13"/>
      <c r="C34" s="13" t="s">
        <v>69</v>
      </c>
      <c r="D34" s="13"/>
      <c r="E34" s="13"/>
      <c r="F34" s="13"/>
      <c r="G34" s="13"/>
    </row>
    <row r="35" spans="1:7" x14ac:dyDescent="0.25">
      <c r="A35" s="13" t="s">
        <v>179</v>
      </c>
      <c r="B35" s="13"/>
      <c r="C35" s="13"/>
      <c r="D35" s="390">
        <v>2204</v>
      </c>
      <c r="E35" s="13"/>
      <c r="F35" s="13"/>
      <c r="G35" s="13"/>
    </row>
    <row r="36" spans="1:7" x14ac:dyDescent="0.25">
      <c r="A36" s="13" t="s">
        <v>133</v>
      </c>
      <c r="B36" s="13"/>
      <c r="C36" s="13"/>
      <c r="D36" s="13">
        <v>1.695E-2</v>
      </c>
      <c r="E36" s="13"/>
      <c r="F36" s="13"/>
      <c r="G36" s="13"/>
    </row>
    <row r="37" spans="1:7" x14ac:dyDescent="0.25">
      <c r="A37" s="13" t="s">
        <v>862</v>
      </c>
      <c r="B37" s="13"/>
      <c r="C37" s="13"/>
      <c r="D37" s="390">
        <v>37.35</v>
      </c>
      <c r="E37" s="13" t="s">
        <v>863</v>
      </c>
      <c r="F37" s="13"/>
      <c r="G37" s="13"/>
    </row>
    <row r="38" spans="1:7" x14ac:dyDescent="0.25">
      <c r="A38" s="13"/>
      <c r="B38" s="13"/>
      <c r="C38" s="13"/>
      <c r="D38" s="13"/>
      <c r="E38" s="13"/>
      <c r="F38" s="13"/>
      <c r="G38" s="13"/>
    </row>
    <row r="39" spans="1:7" x14ac:dyDescent="0.25">
      <c r="A39" s="13" t="s">
        <v>864</v>
      </c>
      <c r="B39" s="13"/>
      <c r="C39" s="13"/>
      <c r="D39" s="13"/>
      <c r="E39" s="13"/>
      <c r="F39" s="13"/>
      <c r="G39" s="13"/>
    </row>
    <row r="40" spans="1:7" x14ac:dyDescent="0.25">
      <c r="A40" s="13" t="s">
        <v>261</v>
      </c>
      <c r="B40" s="13"/>
      <c r="C40" s="13"/>
      <c r="D40" s="390">
        <v>187966</v>
      </c>
      <c r="E40" s="12" t="s">
        <v>686</v>
      </c>
      <c r="F40" s="13"/>
      <c r="G40" s="13"/>
    </row>
    <row r="41" spans="1:7" x14ac:dyDescent="0.25">
      <c r="A41" s="13" t="s">
        <v>865</v>
      </c>
      <c r="B41" s="13"/>
      <c r="C41" s="13" t="s">
        <v>866</v>
      </c>
      <c r="D41" s="13">
        <v>2.8230000000000002E-2</v>
      </c>
      <c r="E41" s="13"/>
      <c r="F41" s="13"/>
      <c r="G41" s="13"/>
    </row>
    <row r="42" spans="1:7" x14ac:dyDescent="0.25">
      <c r="A42" s="13" t="s">
        <v>276</v>
      </c>
      <c r="B42" s="13"/>
      <c r="C42" s="13" t="s">
        <v>866</v>
      </c>
      <c r="D42" s="13">
        <v>1.695E-2</v>
      </c>
      <c r="E42" s="13"/>
      <c r="F42" s="13"/>
      <c r="G42" s="13"/>
    </row>
    <row r="43" spans="1:7" x14ac:dyDescent="0.25">
      <c r="A43" s="13" t="s">
        <v>867</v>
      </c>
      <c r="B43" s="13"/>
      <c r="C43" s="13"/>
      <c r="D43" s="390">
        <v>89.94</v>
      </c>
      <c r="E43" s="13"/>
      <c r="F43" s="13"/>
      <c r="G43" s="13"/>
    </row>
    <row r="44" spans="1:7" x14ac:dyDescent="0.25">
      <c r="A44" s="13"/>
      <c r="B44" s="13"/>
      <c r="C44" s="13"/>
      <c r="D44" s="13"/>
      <c r="E44" s="13"/>
      <c r="F44" s="13"/>
      <c r="G44" s="13"/>
    </row>
    <row r="45" spans="1:7" x14ac:dyDescent="0.25">
      <c r="A45" s="13" t="s">
        <v>868</v>
      </c>
      <c r="B45" s="13"/>
      <c r="C45" s="13"/>
      <c r="D45" s="391">
        <v>126.94</v>
      </c>
      <c r="E45" s="12" t="s">
        <v>686</v>
      </c>
      <c r="F45" s="13"/>
      <c r="G45" s="13"/>
    </row>
    <row r="46" spans="1:7" x14ac:dyDescent="0.25">
      <c r="A46" s="24" t="s">
        <v>869</v>
      </c>
      <c r="B46" s="13"/>
      <c r="C46" s="13"/>
      <c r="D46" s="13"/>
      <c r="E46" s="13"/>
      <c r="F46" s="13"/>
      <c r="G46" s="13"/>
    </row>
    <row r="53" spans="1:6" x14ac:dyDescent="0.25">
      <c r="A53" s="84" t="s">
        <v>15</v>
      </c>
      <c r="B53" s="84" t="s">
        <v>16</v>
      </c>
    </row>
    <row r="55" spans="1:6" s="189" customFormat="1" x14ac:dyDescent="0.25">
      <c r="A55" s="12" t="s">
        <v>870</v>
      </c>
      <c r="B55" s="12"/>
      <c r="C55" s="13"/>
      <c r="D55" s="13"/>
      <c r="E55" s="13"/>
      <c r="F55" s="14"/>
    </row>
    <row r="56" spans="1:6" s="189" customFormat="1" x14ac:dyDescent="0.25">
      <c r="A56" s="13" t="s">
        <v>861</v>
      </c>
      <c r="B56" s="13"/>
      <c r="C56" s="13" t="s">
        <v>69</v>
      </c>
      <c r="D56" s="13"/>
      <c r="E56" s="13"/>
      <c r="F56" s="14"/>
    </row>
    <row r="57" spans="1:6" s="189" customFormat="1" x14ac:dyDescent="0.25">
      <c r="A57" s="12" t="s">
        <v>179</v>
      </c>
      <c r="B57" s="13"/>
      <c r="C57" s="13"/>
      <c r="D57" s="392">
        <v>2204</v>
      </c>
      <c r="E57" s="13"/>
      <c r="F57" s="14"/>
    </row>
    <row r="58" spans="1:6" s="189" customFormat="1" x14ac:dyDescent="0.25">
      <c r="A58" s="13" t="s">
        <v>133</v>
      </c>
      <c r="B58" s="13"/>
      <c r="C58" s="13"/>
      <c r="D58" s="13">
        <v>1.695E-2</v>
      </c>
      <c r="E58" s="13"/>
      <c r="F58" s="14"/>
    </row>
    <row r="59" spans="1:6" s="189" customFormat="1" x14ac:dyDescent="0.25">
      <c r="A59" s="13" t="s">
        <v>862</v>
      </c>
      <c r="B59" s="13"/>
      <c r="C59" s="13"/>
      <c r="D59" s="13" t="s">
        <v>871</v>
      </c>
      <c r="E59" s="13"/>
      <c r="F59" s="14"/>
    </row>
    <row r="60" spans="1:6" s="189" customFormat="1" x14ac:dyDescent="0.25">
      <c r="A60" s="60" t="s">
        <v>872</v>
      </c>
      <c r="B60" s="60"/>
      <c r="C60" s="60"/>
      <c r="D60" s="60" t="s">
        <v>873</v>
      </c>
      <c r="E60" s="60"/>
      <c r="F60" s="14"/>
    </row>
    <row r="61" spans="1:6" s="189" customFormat="1" x14ac:dyDescent="0.25">
      <c r="A61" s="13"/>
      <c r="B61" s="13"/>
      <c r="C61" s="13"/>
      <c r="D61" s="12" t="s">
        <v>874</v>
      </c>
      <c r="E61" s="13"/>
      <c r="F61" s="14"/>
    </row>
    <row r="62" spans="1:6" x14ac:dyDescent="0.25">
      <c r="A62" s="13"/>
      <c r="B62" s="13"/>
      <c r="C62" s="13"/>
      <c r="D62" s="13" t="s">
        <v>875</v>
      </c>
      <c r="E62" s="13"/>
      <c r="F62" s="14"/>
    </row>
    <row r="63" spans="1:6" x14ac:dyDescent="0.25">
      <c r="A63" s="12" t="s">
        <v>876</v>
      </c>
      <c r="B63" s="12"/>
      <c r="C63" s="13"/>
      <c r="D63" s="13"/>
      <c r="E63" s="13"/>
      <c r="F63" s="13"/>
    </row>
    <row r="64" spans="1:6" x14ac:dyDescent="0.25">
      <c r="A64" s="13" t="s">
        <v>861</v>
      </c>
      <c r="B64" s="13"/>
      <c r="C64" s="13" t="s">
        <v>69</v>
      </c>
      <c r="D64" s="13"/>
      <c r="E64" s="13"/>
      <c r="F64" s="13"/>
    </row>
    <row r="65" spans="1:13" x14ac:dyDescent="0.25">
      <c r="A65" s="12" t="s">
        <v>179</v>
      </c>
      <c r="B65" s="12"/>
      <c r="C65" s="13"/>
      <c r="D65" s="13">
        <v>2204</v>
      </c>
      <c r="E65" s="13"/>
      <c r="F65" s="13"/>
    </row>
    <row r="66" spans="1:13" x14ac:dyDescent="0.25">
      <c r="A66" s="13" t="s">
        <v>133</v>
      </c>
      <c r="B66" s="13"/>
      <c r="C66" s="13"/>
      <c r="D66" s="13">
        <v>1.695E-2</v>
      </c>
      <c r="E66" s="13"/>
      <c r="F66" s="13"/>
    </row>
    <row r="67" spans="1:13" x14ac:dyDescent="0.25">
      <c r="A67" s="13" t="s">
        <v>862</v>
      </c>
      <c r="B67" s="13"/>
      <c r="C67" s="13"/>
      <c r="D67" s="13" t="s">
        <v>871</v>
      </c>
      <c r="E67" s="13"/>
      <c r="F67" s="13"/>
    </row>
    <row r="68" spans="1:13" x14ac:dyDescent="0.25">
      <c r="A68" s="13" t="s">
        <v>872</v>
      </c>
      <c r="B68" s="13"/>
      <c r="C68" s="13"/>
      <c r="D68" s="13" t="s">
        <v>873</v>
      </c>
      <c r="E68" s="13"/>
      <c r="F68" s="13"/>
    </row>
    <row r="69" spans="1:13" x14ac:dyDescent="0.25">
      <c r="A69" s="13"/>
      <c r="B69" s="13"/>
      <c r="C69" s="13"/>
      <c r="D69" s="12" t="s">
        <v>877</v>
      </c>
      <c r="E69" s="13"/>
      <c r="F69" s="13"/>
    </row>
    <row r="70" spans="1:13" x14ac:dyDescent="0.25">
      <c r="A70" s="12" t="s">
        <v>864</v>
      </c>
      <c r="B70" s="13"/>
      <c r="C70" s="13"/>
      <c r="D70" s="13"/>
      <c r="E70" s="13"/>
      <c r="F70" s="13"/>
    </row>
    <row r="71" spans="1:13" x14ac:dyDescent="0.25">
      <c r="A71" s="13" t="s">
        <v>261</v>
      </c>
      <c r="B71" s="13"/>
      <c r="C71" s="13"/>
      <c r="D71" s="390">
        <v>276033</v>
      </c>
      <c r="E71" s="12" t="s">
        <v>686</v>
      </c>
      <c r="F71" s="13"/>
    </row>
    <row r="72" spans="1:13" x14ac:dyDescent="0.25">
      <c r="A72" s="13" t="s">
        <v>865</v>
      </c>
      <c r="B72" s="13"/>
      <c r="C72" s="13"/>
      <c r="D72" s="13">
        <v>2.8230000000000002E-2</v>
      </c>
      <c r="E72" s="13"/>
      <c r="F72" s="13"/>
    </row>
    <row r="73" spans="1:13" x14ac:dyDescent="0.25">
      <c r="A73" s="13" t="s">
        <v>276</v>
      </c>
      <c r="B73" s="13"/>
      <c r="C73" s="13"/>
      <c r="D73" s="13">
        <v>1.695E-2</v>
      </c>
      <c r="E73" s="13"/>
      <c r="F73" s="13"/>
    </row>
    <row r="74" spans="1:13" x14ac:dyDescent="0.25">
      <c r="A74" s="13" t="s">
        <v>878</v>
      </c>
      <c r="B74" s="13"/>
      <c r="C74" s="13"/>
      <c r="D74" s="13">
        <v>0.75</v>
      </c>
      <c r="E74" s="13"/>
      <c r="F74" s="13"/>
    </row>
    <row r="75" spans="1:13" x14ac:dyDescent="0.25">
      <c r="A75" s="13" t="s">
        <v>879</v>
      </c>
      <c r="B75" s="13"/>
      <c r="C75" s="13"/>
      <c r="D75" s="391">
        <v>99.06</v>
      </c>
      <c r="E75" s="13"/>
      <c r="F75" s="13"/>
    </row>
    <row r="76" spans="1:13" x14ac:dyDescent="0.25">
      <c r="A76" s="13"/>
      <c r="B76" s="13"/>
      <c r="C76" s="13"/>
      <c r="D76" s="13"/>
      <c r="E76" s="13"/>
      <c r="F76" s="14"/>
    </row>
    <row r="77" spans="1:13" x14ac:dyDescent="0.25">
      <c r="A77" s="12" t="s">
        <v>880</v>
      </c>
      <c r="B77" s="13"/>
      <c r="C77" s="13"/>
      <c r="D77" s="13"/>
      <c r="E77" s="13"/>
      <c r="F77" s="14"/>
    </row>
    <row r="78" spans="1:13" x14ac:dyDescent="0.25">
      <c r="A78" s="13" t="s">
        <v>881</v>
      </c>
      <c r="B78" s="13"/>
      <c r="C78" s="13"/>
      <c r="D78" s="390">
        <v>28</v>
      </c>
      <c r="E78" s="13" t="s">
        <v>882</v>
      </c>
      <c r="F78" s="13"/>
    </row>
    <row r="79" spans="1:13" x14ac:dyDescent="0.25">
      <c r="A79" s="13" t="s">
        <v>883</v>
      </c>
      <c r="B79" s="13"/>
      <c r="C79" s="13"/>
      <c r="D79" s="390">
        <v>28</v>
      </c>
      <c r="E79" s="13" t="s">
        <v>884</v>
      </c>
      <c r="F79" s="15"/>
      <c r="G79" s="86"/>
      <c r="H79" s="86"/>
      <c r="I79" s="86"/>
      <c r="J79" s="86"/>
      <c r="K79" s="86"/>
      <c r="L79" s="86"/>
      <c r="M79" s="86"/>
    </row>
    <row r="80" spans="1:13" x14ac:dyDescent="0.25">
      <c r="A80" s="13" t="s">
        <v>885</v>
      </c>
      <c r="B80" s="13"/>
      <c r="C80" s="13"/>
      <c r="D80" s="390">
        <v>99.06</v>
      </c>
      <c r="E80" s="13" t="s">
        <v>884</v>
      </c>
      <c r="F80" s="16"/>
      <c r="G80" s="86"/>
      <c r="H80" s="86"/>
      <c r="I80" s="86"/>
      <c r="J80" s="86"/>
      <c r="K80" s="86"/>
      <c r="L80" s="86"/>
      <c r="M80" s="86"/>
    </row>
    <row r="81" spans="1:13" x14ac:dyDescent="0.25">
      <c r="A81" s="12" t="s">
        <v>886</v>
      </c>
      <c r="B81" s="13"/>
      <c r="C81" s="13"/>
      <c r="D81" s="391">
        <v>99.06</v>
      </c>
      <c r="E81" s="12" t="s">
        <v>686</v>
      </c>
      <c r="F81" s="16"/>
      <c r="G81" s="86"/>
      <c r="H81" s="86"/>
      <c r="I81" s="86"/>
      <c r="J81" s="86"/>
      <c r="K81" s="86"/>
      <c r="L81" s="86"/>
      <c r="M81" s="86"/>
    </row>
    <row r="82" spans="1:13" x14ac:dyDescent="0.25">
      <c r="A82" s="24" t="s">
        <v>887</v>
      </c>
      <c r="B82" s="13"/>
      <c r="C82" s="13"/>
      <c r="D82" s="13"/>
      <c r="E82" s="13"/>
      <c r="F82" s="13"/>
    </row>
    <row r="83" spans="1:13" x14ac:dyDescent="0.25">
      <c r="A83" s="24"/>
      <c r="B83" s="13"/>
      <c r="C83" s="13"/>
      <c r="D83" s="13"/>
      <c r="E83" s="13"/>
      <c r="F83" s="13"/>
    </row>
    <row r="84" spans="1:13" x14ac:dyDescent="0.25">
      <c r="A84" s="24"/>
      <c r="B84" s="13"/>
      <c r="C84" s="13"/>
      <c r="D84" s="13"/>
      <c r="E84" s="13"/>
      <c r="F84" s="13"/>
    </row>
    <row r="85" spans="1:13" x14ac:dyDescent="0.25">
      <c r="A85" s="13" t="s">
        <v>17</v>
      </c>
      <c r="B85" s="13" t="s">
        <v>18</v>
      </c>
      <c r="C85" s="13"/>
      <c r="D85" s="13"/>
      <c r="E85" s="13"/>
      <c r="F85" s="13"/>
      <c r="G85" s="13"/>
    </row>
    <row r="86" spans="1:13" x14ac:dyDescent="0.25">
      <c r="A86" s="13"/>
      <c r="B86" s="13"/>
      <c r="C86" s="13"/>
      <c r="D86" s="13"/>
      <c r="E86" s="13"/>
      <c r="F86" s="13"/>
      <c r="G86" s="13"/>
    </row>
    <row r="87" spans="1:13" x14ac:dyDescent="0.25">
      <c r="A87" s="13" t="s">
        <v>888</v>
      </c>
      <c r="B87" s="13"/>
      <c r="C87" s="13" t="s">
        <v>69</v>
      </c>
      <c r="D87" s="13"/>
      <c r="E87" s="13"/>
      <c r="F87" s="13"/>
      <c r="G87" s="13"/>
    </row>
    <row r="88" spans="1:13" x14ac:dyDescent="0.25">
      <c r="A88" s="12" t="s">
        <v>179</v>
      </c>
      <c r="B88" s="12"/>
      <c r="C88" s="13"/>
      <c r="D88" s="390">
        <v>1854</v>
      </c>
      <c r="E88" s="13"/>
      <c r="F88" s="13"/>
      <c r="G88" s="13"/>
    </row>
    <row r="89" spans="1:13" x14ac:dyDescent="0.25">
      <c r="A89" s="13" t="s">
        <v>133</v>
      </c>
      <c r="B89" s="13"/>
      <c r="C89" s="13"/>
      <c r="D89" s="13">
        <v>1.695E-2</v>
      </c>
      <c r="E89" s="13"/>
      <c r="F89" s="13"/>
      <c r="G89" s="13"/>
    </row>
    <row r="90" spans="1:13" x14ac:dyDescent="0.25">
      <c r="A90" s="13" t="s">
        <v>889</v>
      </c>
      <c r="B90" s="13"/>
      <c r="C90" s="13"/>
      <c r="D90" s="390">
        <v>31.43</v>
      </c>
      <c r="E90" s="13"/>
      <c r="F90" s="14"/>
      <c r="G90" s="14"/>
    </row>
    <row r="91" spans="1:13" x14ac:dyDescent="0.25">
      <c r="A91" s="13" t="s">
        <v>890</v>
      </c>
      <c r="B91" s="13"/>
      <c r="C91" s="13"/>
      <c r="D91" s="14" t="s">
        <v>891</v>
      </c>
      <c r="E91" s="13"/>
      <c r="F91" s="14"/>
      <c r="G91" s="14"/>
    </row>
    <row r="92" spans="1:13" x14ac:dyDescent="0.25">
      <c r="A92" s="13" t="s">
        <v>892</v>
      </c>
      <c r="B92" s="13"/>
      <c r="C92" s="13"/>
      <c r="D92" s="14" t="s">
        <v>893</v>
      </c>
      <c r="E92" s="13"/>
      <c r="F92" s="14"/>
      <c r="G92" s="14"/>
    </row>
    <row r="93" spans="1:13" x14ac:dyDescent="0.25">
      <c r="A93" s="13"/>
      <c r="B93" s="13"/>
      <c r="C93" s="13"/>
      <c r="D93" s="14">
        <v>18</v>
      </c>
      <c r="E93" s="12" t="s">
        <v>686</v>
      </c>
      <c r="F93" s="13"/>
      <c r="G93" s="13"/>
    </row>
    <row r="94" spans="1:13" x14ac:dyDescent="0.25">
      <c r="A94" s="13"/>
      <c r="B94" s="13"/>
      <c r="C94" s="13"/>
      <c r="D94" s="14"/>
      <c r="E94" s="13"/>
      <c r="F94" s="13"/>
      <c r="G94" s="13"/>
    </row>
    <row r="95" spans="1:13" x14ac:dyDescent="0.25">
      <c r="A95" s="12" t="s">
        <v>864</v>
      </c>
      <c r="B95" s="13"/>
      <c r="C95" s="13"/>
      <c r="D95" s="13"/>
      <c r="E95" s="13"/>
      <c r="F95" s="13"/>
      <c r="G95" s="13"/>
    </row>
    <row r="96" spans="1:13" x14ac:dyDescent="0.25">
      <c r="A96" s="13" t="s">
        <v>261</v>
      </c>
      <c r="B96" s="13"/>
      <c r="C96" s="13"/>
      <c r="D96" s="390">
        <v>262599</v>
      </c>
      <c r="E96" s="12" t="s">
        <v>686</v>
      </c>
      <c r="F96" s="13"/>
      <c r="G96" s="13"/>
    </row>
    <row r="97" spans="1:7" x14ac:dyDescent="0.25">
      <c r="A97" s="13" t="s">
        <v>865</v>
      </c>
      <c r="B97" s="13"/>
      <c r="C97" s="13"/>
      <c r="D97" s="13">
        <v>2.8230000000000002E-2</v>
      </c>
      <c r="E97" s="13"/>
      <c r="F97" s="13"/>
      <c r="G97" s="13"/>
    </row>
    <row r="98" spans="1:7" x14ac:dyDescent="0.25">
      <c r="A98" s="13" t="s">
        <v>276</v>
      </c>
      <c r="B98" s="13"/>
      <c r="C98" s="13"/>
      <c r="D98" s="13">
        <v>1.695E-2</v>
      </c>
      <c r="E98" s="13"/>
      <c r="F98" s="13"/>
      <c r="G98" s="13"/>
    </row>
    <row r="99" spans="1:7" x14ac:dyDescent="0.25">
      <c r="A99" s="13" t="s">
        <v>878</v>
      </c>
      <c r="B99" s="13"/>
      <c r="C99" s="13"/>
      <c r="D99" s="13" t="s">
        <v>894</v>
      </c>
      <c r="E99" s="13"/>
      <c r="F99" s="13"/>
      <c r="G99" s="13"/>
    </row>
    <row r="100" spans="1:7" x14ac:dyDescent="0.25">
      <c r="A100" s="13" t="s">
        <v>879</v>
      </c>
      <c r="B100" s="13"/>
      <c r="C100" s="13"/>
      <c r="D100" s="13"/>
      <c r="E100" s="13"/>
      <c r="F100" s="13"/>
      <c r="G100" s="13"/>
    </row>
    <row r="101" spans="1:7" x14ac:dyDescent="0.25">
      <c r="A101" s="5" t="s">
        <v>189</v>
      </c>
      <c r="B101" s="13"/>
      <c r="C101" s="13"/>
      <c r="D101" s="17" t="s">
        <v>1532</v>
      </c>
      <c r="E101" s="13"/>
      <c r="F101" s="13"/>
      <c r="G101" s="13"/>
    </row>
    <row r="102" spans="1:7" x14ac:dyDescent="0.25">
      <c r="A102" s="24" t="s">
        <v>869</v>
      </c>
      <c r="B102" s="13"/>
      <c r="C102" s="13"/>
      <c r="D102" s="13"/>
      <c r="E102" s="13"/>
      <c r="F102" s="13"/>
      <c r="G102" s="13"/>
    </row>
    <row r="103" spans="1:7" x14ac:dyDescent="0.25">
      <c r="A103" s="24"/>
      <c r="B103" s="13"/>
      <c r="C103" s="13"/>
      <c r="D103" s="13"/>
      <c r="E103" s="13"/>
      <c r="F103" s="13"/>
    </row>
    <row r="105" spans="1:7" x14ac:dyDescent="0.25">
      <c r="A105" s="84" t="s">
        <v>20</v>
      </c>
      <c r="B105" s="84" t="s">
        <v>21</v>
      </c>
    </row>
    <row r="107" spans="1:7" x14ac:dyDescent="0.25">
      <c r="A107" s="5" t="s">
        <v>895</v>
      </c>
      <c r="B107" s="5"/>
      <c r="C107" s="5"/>
      <c r="D107" s="393">
        <v>1854</v>
      </c>
      <c r="E107" s="5"/>
    </row>
    <row r="108" spans="1:7" x14ac:dyDescent="0.25">
      <c r="A108" s="5" t="s">
        <v>896</v>
      </c>
      <c r="B108" s="5"/>
      <c r="C108" s="5"/>
      <c r="D108" s="5">
        <v>0.49590000000000001</v>
      </c>
      <c r="E108" s="5"/>
    </row>
    <row r="109" spans="1:7" x14ac:dyDescent="0.25">
      <c r="A109" s="5" t="s">
        <v>897</v>
      </c>
      <c r="B109" s="5"/>
      <c r="C109" s="5"/>
      <c r="D109" s="5">
        <v>1.695E-2</v>
      </c>
      <c r="E109" s="5"/>
    </row>
    <row r="110" spans="1:7" x14ac:dyDescent="0.25">
      <c r="A110" s="5" t="s">
        <v>898</v>
      </c>
      <c r="B110" s="5"/>
      <c r="C110" s="5"/>
      <c r="D110" s="394">
        <v>15.58</v>
      </c>
      <c r="E110" s="5"/>
    </row>
    <row r="111" spans="1:7" x14ac:dyDescent="0.25">
      <c r="A111" s="5" t="s">
        <v>899</v>
      </c>
      <c r="B111" s="5"/>
      <c r="C111" s="5"/>
      <c r="D111" s="394">
        <v>15</v>
      </c>
      <c r="E111" s="5"/>
    </row>
    <row r="112" spans="1:7" x14ac:dyDescent="0.25">
      <c r="A112" s="5"/>
      <c r="B112" s="5"/>
      <c r="C112" s="5"/>
      <c r="D112" s="5"/>
      <c r="E112" s="58"/>
    </row>
    <row r="113" spans="1:13" x14ac:dyDescent="0.25">
      <c r="A113" s="5" t="s">
        <v>900</v>
      </c>
      <c r="B113" s="5"/>
      <c r="C113" s="5"/>
      <c r="D113" s="5"/>
      <c r="E113" s="58"/>
    </row>
    <row r="114" spans="1:13" x14ac:dyDescent="0.25">
      <c r="A114" s="5" t="s">
        <v>901</v>
      </c>
      <c r="B114" s="5"/>
      <c r="C114" s="5"/>
      <c r="D114" s="393">
        <v>2204</v>
      </c>
      <c r="E114" s="58"/>
    </row>
    <row r="115" spans="1:13" x14ac:dyDescent="0.25">
      <c r="A115" s="5" t="s">
        <v>902</v>
      </c>
      <c r="B115" s="5"/>
      <c r="C115" s="5"/>
      <c r="D115" s="5">
        <v>0.49590000000000001</v>
      </c>
      <c r="E115" s="5"/>
    </row>
    <row r="116" spans="1:13" x14ac:dyDescent="0.25">
      <c r="A116" s="5" t="s">
        <v>903</v>
      </c>
      <c r="B116" s="5"/>
      <c r="C116" s="5"/>
      <c r="D116" s="5">
        <v>1.695E-2</v>
      </c>
      <c r="E116" s="61"/>
    </row>
    <row r="117" spans="1:13" x14ac:dyDescent="0.25">
      <c r="A117" s="5"/>
      <c r="B117" s="5"/>
      <c r="C117" s="58"/>
      <c r="D117" s="5" t="s">
        <v>904</v>
      </c>
      <c r="E117" s="59"/>
    </row>
    <row r="118" spans="1:13" x14ac:dyDescent="0.25">
      <c r="A118" s="58"/>
      <c r="B118" s="58"/>
      <c r="C118" s="58"/>
      <c r="D118" s="58"/>
      <c r="E118" s="59"/>
    </row>
    <row r="119" spans="1:13" x14ac:dyDescent="0.25">
      <c r="A119" s="58" t="s">
        <v>905</v>
      </c>
      <c r="B119" s="58"/>
      <c r="C119" s="58"/>
      <c r="D119" s="395">
        <v>4</v>
      </c>
      <c r="E119" s="6" t="s">
        <v>686</v>
      </c>
    </row>
    <row r="120" spans="1:13" x14ac:dyDescent="0.25">
      <c r="A120" s="24" t="s">
        <v>869</v>
      </c>
      <c r="B120" s="5"/>
      <c r="C120" s="5"/>
      <c r="D120" s="5"/>
      <c r="E120" s="5"/>
    </row>
    <row r="123" spans="1:13" x14ac:dyDescent="0.25">
      <c r="B123" s="86"/>
      <c r="C123" s="86"/>
      <c r="D123" s="86"/>
      <c r="E123" s="86"/>
      <c r="F123" s="86"/>
      <c r="G123" s="86"/>
      <c r="H123" s="86"/>
      <c r="I123" s="86"/>
      <c r="J123" s="86"/>
      <c r="K123" s="86"/>
      <c r="L123" s="86"/>
      <c r="M123" s="86"/>
    </row>
    <row r="124" spans="1:13" x14ac:dyDescent="0.25">
      <c r="A124" s="84" t="s">
        <v>22</v>
      </c>
      <c r="B124" s="84" t="s">
        <v>23</v>
      </c>
    </row>
    <row r="125" spans="1:13" ht="40.5" customHeight="1" x14ac:dyDescent="0.25">
      <c r="B125" s="459" t="s">
        <v>24</v>
      </c>
      <c r="C125" s="459"/>
      <c r="D125" s="459"/>
      <c r="E125" s="459"/>
      <c r="F125" s="459"/>
      <c r="G125" s="459"/>
      <c r="H125" s="459"/>
      <c r="I125" s="459"/>
      <c r="J125" s="459"/>
      <c r="K125" s="459"/>
      <c r="L125" s="86"/>
      <c r="M125" s="86"/>
    </row>
    <row r="126" spans="1:13" x14ac:dyDescent="0.25">
      <c r="B126" s="88"/>
      <c r="C126" s="88"/>
      <c r="D126" s="88"/>
      <c r="E126" s="88"/>
      <c r="F126" s="88"/>
      <c r="G126" s="88"/>
      <c r="H126" s="88"/>
      <c r="I126" s="88"/>
      <c r="J126" s="88"/>
      <c r="K126" s="88"/>
      <c r="L126" s="86"/>
      <c r="M126" s="86"/>
    </row>
    <row r="127" spans="1:13" x14ac:dyDescent="0.25">
      <c r="A127" s="13"/>
      <c r="B127" s="16"/>
      <c r="C127" s="16"/>
      <c r="D127" s="16"/>
      <c r="E127" s="16"/>
      <c r="F127" s="16"/>
      <c r="G127" s="16"/>
      <c r="H127" s="16"/>
      <c r="I127" s="16"/>
      <c r="J127" s="16"/>
      <c r="K127" s="16"/>
    </row>
    <row r="128" spans="1:13" x14ac:dyDescent="0.25">
      <c r="A128" s="13" t="s">
        <v>906</v>
      </c>
      <c r="B128" s="13" t="s">
        <v>907</v>
      </c>
      <c r="C128" s="13" t="s">
        <v>908</v>
      </c>
      <c r="D128" s="13"/>
      <c r="E128" s="13"/>
      <c r="F128" s="16"/>
      <c r="G128" s="16"/>
      <c r="H128" s="16"/>
      <c r="I128" s="16"/>
      <c r="J128" s="16"/>
      <c r="K128" s="16"/>
    </row>
    <row r="129" spans="1:13" x14ac:dyDescent="0.25">
      <c r="A129" s="13" t="s">
        <v>179</v>
      </c>
      <c r="B129" s="13"/>
      <c r="C129" s="13"/>
      <c r="D129" s="392">
        <v>556</v>
      </c>
      <c r="E129" s="13"/>
      <c r="F129" s="13"/>
      <c r="G129" s="13"/>
      <c r="H129" s="13"/>
      <c r="I129" s="13"/>
      <c r="J129" s="13"/>
      <c r="K129" s="13"/>
    </row>
    <row r="130" spans="1:13" x14ac:dyDescent="0.25">
      <c r="A130" s="13" t="s">
        <v>133</v>
      </c>
      <c r="B130" s="13"/>
      <c r="C130" s="13"/>
      <c r="D130" s="13">
        <v>1.695E-2</v>
      </c>
      <c r="E130" s="13"/>
      <c r="F130" s="13"/>
      <c r="G130" s="13"/>
      <c r="H130" s="13"/>
      <c r="I130" s="13"/>
      <c r="J130" s="13"/>
      <c r="K130" s="13"/>
    </row>
    <row r="131" spans="1:13" x14ac:dyDescent="0.25">
      <c r="A131" s="13" t="s">
        <v>862</v>
      </c>
      <c r="B131" s="13"/>
      <c r="C131" s="13"/>
      <c r="D131" s="13" t="s">
        <v>909</v>
      </c>
      <c r="E131" s="13"/>
      <c r="F131" s="13"/>
      <c r="G131" s="13"/>
      <c r="H131" s="13"/>
      <c r="I131" s="13"/>
      <c r="J131" s="13"/>
      <c r="K131" s="13"/>
    </row>
    <row r="132" spans="1:13" x14ac:dyDescent="0.25">
      <c r="A132" s="13"/>
      <c r="B132" s="13"/>
      <c r="C132" s="13"/>
      <c r="D132" s="13"/>
      <c r="E132" s="13"/>
      <c r="F132" s="13"/>
      <c r="G132" s="13"/>
      <c r="H132" s="13"/>
      <c r="I132" s="13"/>
      <c r="J132" s="13"/>
      <c r="K132" s="13"/>
    </row>
    <row r="133" spans="1:13" x14ac:dyDescent="0.25">
      <c r="A133" s="13" t="s">
        <v>864</v>
      </c>
      <c r="B133" s="13"/>
      <c r="C133" s="13"/>
      <c r="D133" s="14"/>
      <c r="E133" s="13"/>
      <c r="F133" s="13"/>
      <c r="G133" s="13"/>
      <c r="H133" s="13"/>
      <c r="I133" s="13"/>
      <c r="J133" s="13"/>
      <c r="K133" s="13"/>
    </row>
    <row r="134" spans="1:13" x14ac:dyDescent="0.25">
      <c r="A134" s="13" t="s">
        <v>261</v>
      </c>
      <c r="B134" s="13"/>
      <c r="C134" s="13"/>
      <c r="D134" s="390">
        <v>496174</v>
      </c>
      <c r="E134" s="12" t="s">
        <v>686</v>
      </c>
      <c r="F134" s="13"/>
      <c r="G134" s="13"/>
      <c r="H134" s="13"/>
      <c r="I134" s="13"/>
      <c r="J134" s="13"/>
      <c r="K134" s="13"/>
      <c r="L134" s="86"/>
      <c r="M134" s="86"/>
    </row>
    <row r="135" spans="1:13" x14ac:dyDescent="0.25">
      <c r="A135" s="13" t="s">
        <v>865</v>
      </c>
      <c r="B135" s="13"/>
      <c r="C135" s="13" t="s">
        <v>866</v>
      </c>
      <c r="D135" s="13">
        <v>1.7649999999999999E-2</v>
      </c>
      <c r="E135" s="13"/>
      <c r="F135" s="13"/>
      <c r="G135" s="13"/>
      <c r="H135" s="13"/>
      <c r="I135" s="13"/>
      <c r="J135" s="13"/>
      <c r="K135" s="13"/>
      <c r="L135" s="86"/>
      <c r="M135" s="86"/>
    </row>
    <row r="136" spans="1:13" x14ac:dyDescent="0.25">
      <c r="A136" s="13" t="s">
        <v>276</v>
      </c>
      <c r="B136" s="13"/>
      <c r="C136" s="13" t="s">
        <v>866</v>
      </c>
      <c r="D136" s="13">
        <v>1.695E-2</v>
      </c>
      <c r="E136" s="12"/>
      <c r="F136" s="14"/>
      <c r="G136" s="14"/>
      <c r="H136" s="14"/>
      <c r="I136" s="14"/>
      <c r="J136" s="14"/>
      <c r="K136" s="14"/>
      <c r="L136" s="86"/>
      <c r="M136" s="86"/>
    </row>
    <row r="137" spans="1:13" x14ac:dyDescent="0.25">
      <c r="A137" s="13" t="s">
        <v>867</v>
      </c>
      <c r="B137" s="13"/>
      <c r="C137" s="13"/>
      <c r="D137" s="390">
        <v>148.44</v>
      </c>
      <c r="E137" s="13"/>
      <c r="F137" s="14"/>
      <c r="G137" s="14"/>
      <c r="H137" s="14"/>
      <c r="I137" s="14"/>
      <c r="J137" s="14"/>
      <c r="K137" s="14"/>
    </row>
    <row r="138" spans="1:13" x14ac:dyDescent="0.25">
      <c r="A138" s="13"/>
      <c r="B138" s="13"/>
      <c r="C138" s="13"/>
      <c r="D138" s="13"/>
      <c r="E138" s="13"/>
      <c r="F138" s="14"/>
      <c r="G138" s="14"/>
      <c r="H138" s="14"/>
      <c r="I138" s="14"/>
      <c r="J138" s="14"/>
      <c r="K138" s="14"/>
    </row>
    <row r="139" spans="1:13" x14ac:dyDescent="0.25">
      <c r="A139" s="13" t="s">
        <v>868</v>
      </c>
      <c r="B139" s="13"/>
      <c r="C139" s="13"/>
      <c r="D139" s="391">
        <v>157.44</v>
      </c>
      <c r="E139" s="12" t="s">
        <v>686</v>
      </c>
      <c r="F139" s="13"/>
      <c r="G139" s="13"/>
      <c r="H139" s="13"/>
      <c r="I139" s="13"/>
      <c r="J139" s="13"/>
      <c r="K139" s="13"/>
    </row>
    <row r="140" spans="1:13" x14ac:dyDescent="0.25">
      <c r="A140" s="24" t="s">
        <v>910</v>
      </c>
      <c r="B140" s="13"/>
      <c r="C140" s="13"/>
      <c r="D140" s="13"/>
      <c r="E140" s="13"/>
      <c r="F140" s="13"/>
      <c r="G140" s="13"/>
      <c r="H140" s="13"/>
      <c r="I140" s="13"/>
      <c r="J140" s="13"/>
      <c r="K140" s="13"/>
    </row>
  </sheetData>
  <mergeCells count="3">
    <mergeCell ref="A1:I1"/>
    <mergeCell ref="A3:K6"/>
    <mergeCell ref="B125:K125"/>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ED003-EEC1-488E-8A97-60F694D2B001}">
  <dimension ref="A1:M79"/>
  <sheetViews>
    <sheetView workbookViewId="0">
      <selection activeCell="A2" sqref="A2"/>
    </sheetView>
  </sheetViews>
  <sheetFormatPr defaultColWidth="9.140625" defaultRowHeight="15" x14ac:dyDescent="0.25"/>
  <cols>
    <col min="1" max="1" width="9.140625" style="84"/>
    <col min="2" max="2" width="9.42578125" style="84" customWidth="1"/>
    <col min="3" max="3" width="13.85546875" style="84" customWidth="1"/>
    <col min="4" max="4" width="9.140625" style="84"/>
    <col min="5" max="5" width="36.42578125" style="84" customWidth="1"/>
    <col min="6" max="6" width="28.5703125" style="84" customWidth="1"/>
    <col min="7" max="8" width="9.140625" style="84"/>
    <col min="9" max="9" width="24.42578125" style="84" customWidth="1"/>
    <col min="10" max="10" width="15.85546875" style="84" customWidth="1"/>
    <col min="11" max="11" width="11.28515625" style="84" customWidth="1"/>
    <col min="12" max="16384" width="9.140625" style="84"/>
  </cols>
  <sheetData>
    <row r="1" spans="1:13" ht="21" x14ac:dyDescent="0.35">
      <c r="A1" s="457" t="s">
        <v>1562</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14" t="s">
        <v>4</v>
      </c>
      <c r="D10" s="14"/>
      <c r="E10" s="14"/>
      <c r="F10" s="86"/>
      <c r="G10" s="86"/>
      <c r="H10" s="86"/>
    </row>
    <row r="11" spans="1:13" x14ac:dyDescent="0.25">
      <c r="B11" s="86" t="s">
        <v>5</v>
      </c>
      <c r="C11" s="14" t="s">
        <v>6</v>
      </c>
      <c r="D11" s="14"/>
      <c r="E11" s="14"/>
      <c r="F11" s="86"/>
      <c r="G11" s="86"/>
      <c r="H11" s="86"/>
    </row>
    <row r="12" spans="1:13" x14ac:dyDescent="0.25">
      <c r="B12" s="86"/>
      <c r="C12" s="14" t="s">
        <v>7</v>
      </c>
      <c r="D12" s="14"/>
      <c r="E12" s="14"/>
      <c r="F12" s="86"/>
      <c r="G12" s="86"/>
      <c r="H12" s="86"/>
    </row>
    <row r="13" spans="1:13" x14ac:dyDescent="0.25">
      <c r="B13" s="86"/>
      <c r="C13" s="14" t="s">
        <v>8</v>
      </c>
      <c r="D13" s="14"/>
      <c r="E13" s="14"/>
      <c r="F13" s="86"/>
      <c r="G13" s="86"/>
      <c r="H13" s="86"/>
    </row>
    <row r="14" spans="1:13" x14ac:dyDescent="0.25">
      <c r="B14" s="86"/>
      <c r="C14" s="14" t="s">
        <v>9</v>
      </c>
      <c r="D14" s="14"/>
      <c r="E14" s="14"/>
      <c r="F14" s="86"/>
      <c r="G14" s="86"/>
      <c r="H14" s="86"/>
    </row>
    <row r="17" spans="1:10" x14ac:dyDescent="0.25">
      <c r="A17" s="84" t="s">
        <v>10</v>
      </c>
      <c r="B17" s="84" t="s">
        <v>11</v>
      </c>
    </row>
    <row r="19" spans="1:10" x14ac:dyDescent="0.25">
      <c r="B19" s="456" t="s">
        <v>1534</v>
      </c>
      <c r="C19" s="456"/>
      <c r="D19" s="456"/>
      <c r="E19" s="456"/>
      <c r="F19" s="456"/>
    </row>
    <row r="20" spans="1:10" x14ac:dyDescent="0.25">
      <c r="B20" s="525" t="s">
        <v>1535</v>
      </c>
      <c r="C20" s="525"/>
      <c r="D20" s="525"/>
      <c r="E20" s="525"/>
      <c r="F20" s="525"/>
    </row>
    <row r="21" spans="1:10" x14ac:dyDescent="0.25">
      <c r="B21" s="525"/>
      <c r="C21" s="525"/>
      <c r="D21" s="396"/>
      <c r="E21" s="396"/>
      <c r="F21" s="396"/>
    </row>
    <row r="22" spans="1:10" ht="15" customHeight="1" x14ac:dyDescent="0.25">
      <c r="G22" s="456"/>
      <c r="H22" s="456"/>
    </row>
    <row r="23" spans="1:10" x14ac:dyDescent="0.25">
      <c r="B23" s="456" t="s">
        <v>1536</v>
      </c>
      <c r="C23" s="456"/>
      <c r="D23" s="397"/>
      <c r="E23" s="397"/>
      <c r="F23" s="398"/>
    </row>
    <row r="24" spans="1:10" x14ac:dyDescent="0.25">
      <c r="B24" s="456" t="s">
        <v>1537</v>
      </c>
      <c r="C24" s="456"/>
      <c r="D24" s="456"/>
      <c r="E24" s="456"/>
    </row>
    <row r="25" spans="1:10" x14ac:dyDescent="0.25">
      <c r="B25" s="456" t="s">
        <v>1538</v>
      </c>
      <c r="C25" s="456"/>
      <c r="D25" s="456"/>
      <c r="E25" s="456"/>
      <c r="F25" s="175"/>
      <c r="H25" s="454"/>
      <c r="I25" s="454"/>
      <c r="J25" s="454"/>
    </row>
    <row r="26" spans="1:10" x14ac:dyDescent="0.25">
      <c r="B26" s="456" t="s">
        <v>1539</v>
      </c>
      <c r="C26" s="456"/>
      <c r="D26" s="456"/>
      <c r="E26" s="456"/>
      <c r="F26" s="175"/>
    </row>
    <row r="27" spans="1:10" ht="18.75" customHeight="1" x14ac:dyDescent="0.25">
      <c r="F27" s="400"/>
    </row>
    <row r="28" spans="1:10" x14ac:dyDescent="0.25">
      <c r="A28" s="84" t="s">
        <v>12</v>
      </c>
      <c r="B28" s="84" t="s">
        <v>13</v>
      </c>
    </row>
    <row r="30" spans="1:10" x14ac:dyDescent="0.25">
      <c r="B30" s="173" t="s">
        <v>1536</v>
      </c>
      <c r="C30" s="173"/>
      <c r="D30" s="397"/>
      <c r="E30" s="397"/>
      <c r="F30" s="173"/>
    </row>
    <row r="31" spans="1:10" x14ac:dyDescent="0.25">
      <c r="B31" s="456" t="s">
        <v>1537</v>
      </c>
      <c r="C31" s="456"/>
      <c r="D31" s="456"/>
      <c r="E31" s="456"/>
      <c r="F31" s="401"/>
    </row>
    <row r="32" spans="1:10" x14ac:dyDescent="0.25">
      <c r="B32" s="456" t="s">
        <v>1538</v>
      </c>
      <c r="C32" s="456"/>
      <c r="D32" s="456"/>
      <c r="E32" s="456"/>
    </row>
    <row r="33" spans="1:6" x14ac:dyDescent="0.25">
      <c r="B33" s="456" t="s">
        <v>1540</v>
      </c>
      <c r="C33" s="456"/>
      <c r="D33" s="456"/>
      <c r="E33" s="456"/>
      <c r="F33" s="398"/>
    </row>
    <row r="34" spans="1:6" x14ac:dyDescent="0.25">
      <c r="B34" s="402"/>
      <c r="C34" s="399"/>
      <c r="D34" s="399"/>
      <c r="E34" s="399"/>
      <c r="F34" s="175"/>
    </row>
    <row r="35" spans="1:6" x14ac:dyDescent="0.25">
      <c r="B35" s="402"/>
      <c r="C35" s="399"/>
      <c r="D35" s="399"/>
      <c r="E35" s="399"/>
      <c r="F35" s="175"/>
    </row>
    <row r="36" spans="1:6" x14ac:dyDescent="0.25">
      <c r="A36" s="84" t="s">
        <v>15</v>
      </c>
      <c r="B36" s="84" t="s">
        <v>16</v>
      </c>
    </row>
    <row r="38" spans="1:6" x14ac:dyDescent="0.25">
      <c r="B38" s="456" t="s">
        <v>1541</v>
      </c>
      <c r="C38" s="456"/>
    </row>
    <row r="39" spans="1:6" x14ac:dyDescent="0.25">
      <c r="B39" s="456" t="s">
        <v>1542</v>
      </c>
      <c r="C39" s="456"/>
      <c r="D39" s="456" t="s">
        <v>1543</v>
      </c>
      <c r="E39" s="456"/>
    </row>
    <row r="40" spans="1:6" x14ac:dyDescent="0.25">
      <c r="B40" s="456" t="s">
        <v>1544</v>
      </c>
      <c r="C40" s="456"/>
      <c r="D40" s="456" t="s">
        <v>1545</v>
      </c>
      <c r="E40" s="456"/>
    </row>
    <row r="41" spans="1:6" x14ac:dyDescent="0.25">
      <c r="B41" s="456" t="s">
        <v>1546</v>
      </c>
      <c r="C41" s="456"/>
      <c r="D41" s="456"/>
      <c r="E41" s="456"/>
    </row>
    <row r="42" spans="1:6" x14ac:dyDescent="0.25">
      <c r="B42" s="526"/>
      <c r="C42" s="526"/>
    </row>
    <row r="43" spans="1:6" x14ac:dyDescent="0.25">
      <c r="B43" s="456" t="s">
        <v>1547</v>
      </c>
      <c r="C43" s="456"/>
      <c r="D43" s="456"/>
      <c r="E43" s="456"/>
    </row>
    <row r="44" spans="1:6" x14ac:dyDescent="0.25">
      <c r="B44" s="456" t="s">
        <v>1548</v>
      </c>
      <c r="C44" s="456"/>
      <c r="D44" s="456"/>
      <c r="E44" s="456"/>
    </row>
    <row r="45" spans="1:6" x14ac:dyDescent="0.25">
      <c r="B45" s="456" t="s">
        <v>1549</v>
      </c>
      <c r="C45" s="456"/>
      <c r="D45" s="456"/>
      <c r="E45" s="456"/>
    </row>
    <row r="46" spans="1:6" x14ac:dyDescent="0.25">
      <c r="B46" s="173"/>
      <c r="C46" s="173"/>
      <c r="D46" s="173"/>
      <c r="E46" s="173"/>
    </row>
    <row r="47" spans="1:6" x14ac:dyDescent="0.25">
      <c r="B47" s="173"/>
      <c r="C47" s="173"/>
      <c r="D47" s="173"/>
      <c r="E47" s="173"/>
    </row>
    <row r="48" spans="1:6" x14ac:dyDescent="0.25">
      <c r="A48" s="84" t="s">
        <v>17</v>
      </c>
      <c r="B48" s="84" t="s">
        <v>18</v>
      </c>
    </row>
    <row r="49" spans="1:13" x14ac:dyDescent="0.25">
      <c r="F49" s="403"/>
      <c r="G49" s="86"/>
      <c r="H49" s="86"/>
      <c r="I49" s="86"/>
      <c r="J49" s="86"/>
      <c r="K49" s="86"/>
      <c r="L49" s="86"/>
      <c r="M49" s="86"/>
    </row>
    <row r="50" spans="1:13" x14ac:dyDescent="0.25">
      <c r="B50" s="456" t="s">
        <v>1550</v>
      </c>
      <c r="C50" s="456"/>
      <c r="F50" s="404"/>
      <c r="I50" s="86"/>
      <c r="J50" s="86"/>
      <c r="K50" s="86"/>
      <c r="L50" s="86"/>
      <c r="M50" s="86"/>
    </row>
    <row r="51" spans="1:13" x14ac:dyDescent="0.25">
      <c r="B51" s="456" t="s">
        <v>1551</v>
      </c>
      <c r="C51" s="456"/>
      <c r="D51" s="456"/>
      <c r="E51" s="456"/>
    </row>
    <row r="52" spans="1:13" x14ac:dyDescent="0.25">
      <c r="B52" s="456" t="s">
        <v>1552</v>
      </c>
      <c r="C52" s="456"/>
      <c r="D52" s="456"/>
      <c r="E52" s="456"/>
      <c r="F52" s="175"/>
    </row>
    <row r="53" spans="1:13" x14ac:dyDescent="0.25">
      <c r="B53" s="456" t="s">
        <v>1553</v>
      </c>
      <c r="C53" s="456"/>
      <c r="D53" s="456"/>
      <c r="E53" s="456"/>
    </row>
    <row r="55" spans="1:13" x14ac:dyDescent="0.25">
      <c r="A55" s="84" t="s">
        <v>20</v>
      </c>
      <c r="B55" s="84" t="s">
        <v>21</v>
      </c>
    </row>
    <row r="56" spans="1:13" x14ac:dyDescent="0.25">
      <c r="F56" s="173"/>
      <c r="G56" s="526"/>
      <c r="H56" s="526"/>
      <c r="I56" s="526"/>
    </row>
    <row r="57" spans="1:13" x14ac:dyDescent="0.25">
      <c r="B57" s="456" t="s">
        <v>1541</v>
      </c>
      <c r="C57" s="456"/>
      <c r="F57" s="175"/>
      <c r="G57" s="530"/>
      <c r="H57" s="530"/>
      <c r="I57" s="530"/>
    </row>
    <row r="58" spans="1:13" x14ac:dyDescent="0.25">
      <c r="B58" s="456" t="s">
        <v>1554</v>
      </c>
      <c r="C58" s="456"/>
      <c r="D58" s="456"/>
      <c r="E58" s="456"/>
      <c r="F58" s="173"/>
    </row>
    <row r="59" spans="1:13" x14ac:dyDescent="0.25">
      <c r="B59" s="456" t="s">
        <v>1555</v>
      </c>
      <c r="C59" s="456"/>
      <c r="D59" s="456"/>
      <c r="E59" s="456"/>
      <c r="F59" s="175"/>
      <c r="G59" s="526"/>
      <c r="H59" s="526"/>
      <c r="I59" s="526"/>
    </row>
    <row r="60" spans="1:13" x14ac:dyDescent="0.25">
      <c r="B60" s="456" t="s">
        <v>1556</v>
      </c>
      <c r="C60" s="456"/>
      <c r="D60" s="456"/>
      <c r="E60" s="456"/>
      <c r="G60" s="526"/>
      <c r="H60" s="455"/>
      <c r="J60" s="86"/>
      <c r="K60" s="86"/>
      <c r="L60" s="86"/>
      <c r="M60" s="86"/>
    </row>
    <row r="63" spans="1:13" ht="40.5" customHeight="1" x14ac:dyDescent="0.25">
      <c r="A63" s="84" t="s">
        <v>22</v>
      </c>
      <c r="B63" s="527" t="s">
        <v>24</v>
      </c>
      <c r="C63" s="527"/>
      <c r="D63" s="527"/>
      <c r="E63" s="527"/>
      <c r="F63" s="527"/>
      <c r="G63" s="87"/>
      <c r="H63" s="87"/>
      <c r="I63" s="87"/>
      <c r="J63" s="87"/>
      <c r="K63" s="87"/>
      <c r="L63" s="86"/>
      <c r="M63" s="86"/>
    </row>
    <row r="64" spans="1:13" x14ac:dyDescent="0.25">
      <c r="D64" s="528"/>
      <c r="E64" s="528"/>
      <c r="F64" s="88"/>
      <c r="G64" s="88"/>
      <c r="H64" s="88"/>
      <c r="I64" s="88"/>
      <c r="J64" s="88"/>
      <c r="K64" s="88"/>
      <c r="L64" s="86"/>
      <c r="M64" s="86"/>
    </row>
    <row r="65" spans="2:13" x14ac:dyDescent="0.25">
      <c r="B65" s="529" t="s">
        <v>1557</v>
      </c>
      <c r="C65" s="529"/>
      <c r="D65" s="529"/>
      <c r="E65" s="529"/>
      <c r="F65" s="88"/>
      <c r="G65" s="88"/>
      <c r="H65" s="88"/>
      <c r="I65" s="88"/>
      <c r="J65" s="88"/>
      <c r="K65" s="88"/>
      <c r="L65" s="86"/>
      <c r="M65" s="86"/>
    </row>
    <row r="66" spans="2:13" x14ac:dyDescent="0.25">
      <c r="C66" s="87"/>
      <c r="D66" s="87"/>
      <c r="E66" s="87"/>
    </row>
    <row r="67" spans="2:13" x14ac:dyDescent="0.25">
      <c r="B67" s="456" t="s">
        <v>1558</v>
      </c>
      <c r="C67" s="456"/>
      <c r="D67" s="397"/>
      <c r="E67" s="397"/>
    </row>
    <row r="68" spans="2:13" x14ac:dyDescent="0.25">
      <c r="B68" s="456" t="s">
        <v>1559</v>
      </c>
      <c r="C68" s="456"/>
      <c r="D68" s="456"/>
      <c r="E68" s="456"/>
      <c r="F68" s="175"/>
    </row>
    <row r="69" spans="2:13" x14ac:dyDescent="0.25">
      <c r="B69" s="456" t="s">
        <v>1560</v>
      </c>
      <c r="C69" s="456"/>
      <c r="D69" s="456"/>
      <c r="E69" s="456"/>
    </row>
    <row r="70" spans="2:13" x14ac:dyDescent="0.25">
      <c r="B70" s="456" t="s">
        <v>1561</v>
      </c>
      <c r="C70" s="456"/>
      <c r="D70" s="456"/>
      <c r="E70" s="456"/>
      <c r="F70" s="173"/>
    </row>
    <row r="72" spans="2:13" x14ac:dyDescent="0.25">
      <c r="F72" s="175"/>
    </row>
    <row r="74" spans="2:13" x14ac:dyDescent="0.25">
      <c r="F74" s="86"/>
      <c r="G74" s="86"/>
      <c r="H74" s="86"/>
      <c r="I74" s="86"/>
      <c r="J74" s="86"/>
      <c r="K74" s="86"/>
      <c r="L74" s="86"/>
      <c r="M74" s="86"/>
    </row>
    <row r="75" spans="2:13" x14ac:dyDescent="0.25">
      <c r="F75" s="86"/>
      <c r="G75" s="86"/>
      <c r="H75" s="86"/>
      <c r="I75" s="86"/>
      <c r="J75" s="86"/>
      <c r="K75" s="86"/>
      <c r="L75" s="86"/>
      <c r="M75" s="86"/>
    </row>
    <row r="76" spans="2:13" x14ac:dyDescent="0.25">
      <c r="F76" s="86"/>
      <c r="G76" s="86"/>
      <c r="H76" s="86"/>
      <c r="I76" s="86"/>
      <c r="J76" s="86"/>
      <c r="K76" s="86"/>
      <c r="L76" s="86"/>
      <c r="M76" s="86"/>
    </row>
    <row r="77" spans="2:13" x14ac:dyDescent="0.25">
      <c r="B77" s="86"/>
      <c r="C77" s="86"/>
      <c r="D77" s="86"/>
      <c r="E77" s="86"/>
    </row>
    <row r="78" spans="2:13" x14ac:dyDescent="0.25">
      <c r="B78" s="86"/>
      <c r="C78" s="86"/>
      <c r="D78" s="86"/>
      <c r="E78" s="405"/>
    </row>
    <row r="79" spans="2:13" x14ac:dyDescent="0.25">
      <c r="B79" s="86"/>
      <c r="C79" s="86"/>
      <c r="D79" s="86"/>
      <c r="E79" s="86"/>
    </row>
  </sheetData>
  <mergeCells count="43">
    <mergeCell ref="B67:C67"/>
    <mergeCell ref="B68:E68"/>
    <mergeCell ref="B69:E69"/>
    <mergeCell ref="B70:E70"/>
    <mergeCell ref="B60:E60"/>
    <mergeCell ref="G60:H60"/>
    <mergeCell ref="B63:F63"/>
    <mergeCell ref="D64:E64"/>
    <mergeCell ref="B65:E65"/>
    <mergeCell ref="B57:C57"/>
    <mergeCell ref="G57:I57"/>
    <mergeCell ref="B58:E58"/>
    <mergeCell ref="B59:E59"/>
    <mergeCell ref="G59:I59"/>
    <mergeCell ref="B50:C50"/>
    <mergeCell ref="B51:E51"/>
    <mergeCell ref="B52:E52"/>
    <mergeCell ref="B53:E53"/>
    <mergeCell ref="G56:I56"/>
    <mergeCell ref="B41:E41"/>
    <mergeCell ref="B42:C42"/>
    <mergeCell ref="B43:E43"/>
    <mergeCell ref="B44:E44"/>
    <mergeCell ref="B45:E45"/>
    <mergeCell ref="B38:C38"/>
    <mergeCell ref="B39:C39"/>
    <mergeCell ref="D39:E39"/>
    <mergeCell ref="B40:C40"/>
    <mergeCell ref="D40:E40"/>
    <mergeCell ref="A1:I1"/>
    <mergeCell ref="A3:K6"/>
    <mergeCell ref="B19:F19"/>
    <mergeCell ref="B20:F20"/>
    <mergeCell ref="B21:C21"/>
    <mergeCell ref="B26:E26"/>
    <mergeCell ref="B31:E31"/>
    <mergeCell ref="B32:E32"/>
    <mergeCell ref="B33:E33"/>
    <mergeCell ref="G22:H22"/>
    <mergeCell ref="B23:C23"/>
    <mergeCell ref="B24:E24"/>
    <mergeCell ref="B25:E25"/>
    <mergeCell ref="H25:J25"/>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D3528-058C-4491-929B-F4E5DF41E1A6}">
  <dimension ref="A1:M81"/>
  <sheetViews>
    <sheetView workbookViewId="0">
      <selection sqref="A1:XFD1048576"/>
    </sheetView>
  </sheetViews>
  <sheetFormatPr defaultRowHeight="15" x14ac:dyDescent="0.25"/>
  <cols>
    <col min="1" max="4" width="9.140625" style="84"/>
    <col min="5" max="6" width="9.85546875" style="84" bestFit="1" customWidth="1"/>
    <col min="7" max="16384" width="9.140625" style="84"/>
  </cols>
  <sheetData>
    <row r="1" spans="1:13" ht="21" x14ac:dyDescent="0.35">
      <c r="A1" s="457" t="s">
        <v>1563</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5" x14ac:dyDescent="0.25">
      <c r="A17" s="84" t="s">
        <v>10</v>
      </c>
      <c r="B17" s="84" t="s">
        <v>11</v>
      </c>
    </row>
    <row r="19" spans="1:5" x14ac:dyDescent="0.25">
      <c r="B19" t="s">
        <v>320</v>
      </c>
      <c r="C19"/>
      <c r="D19"/>
      <c r="E19" s="68">
        <v>1457</v>
      </c>
    </row>
    <row r="20" spans="1:5" x14ac:dyDescent="0.25">
      <c r="B20" t="s">
        <v>381</v>
      </c>
      <c r="C20"/>
      <c r="D20"/>
      <c r="E20">
        <v>1.695E-2</v>
      </c>
    </row>
    <row r="21" spans="1:5" x14ac:dyDescent="0.25">
      <c r="B21" t="s">
        <v>698</v>
      </c>
      <c r="C21"/>
      <c r="D21"/>
      <c r="E21" s="68">
        <v>24.7</v>
      </c>
    </row>
    <row r="24" spans="1:5" x14ac:dyDescent="0.25">
      <c r="A24" s="84" t="s">
        <v>12</v>
      </c>
      <c r="B24" s="84" t="s">
        <v>13</v>
      </c>
    </row>
    <row r="26" spans="1:5" x14ac:dyDescent="0.25">
      <c r="B26" t="s">
        <v>320</v>
      </c>
      <c r="C26"/>
      <c r="D26"/>
      <c r="E26" s="68">
        <v>1457</v>
      </c>
    </row>
    <row r="27" spans="1:5" x14ac:dyDescent="0.25">
      <c r="B27" t="s">
        <v>381</v>
      </c>
      <c r="C27"/>
      <c r="D27"/>
      <c r="E27">
        <v>1.695E-2</v>
      </c>
    </row>
    <row r="28" spans="1:5" x14ac:dyDescent="0.25">
      <c r="B28" t="s">
        <v>698</v>
      </c>
      <c r="C28"/>
      <c r="D28"/>
      <c r="E28" s="68">
        <v>24.7</v>
      </c>
    </row>
    <row r="31" spans="1:5" x14ac:dyDescent="0.25">
      <c r="A31" s="84" t="s">
        <v>15</v>
      </c>
      <c r="B31" s="84" t="s">
        <v>16</v>
      </c>
    </row>
    <row r="33" spans="1:13" x14ac:dyDescent="0.25">
      <c r="B33" t="s">
        <v>191</v>
      </c>
      <c r="C33" t="s">
        <v>383</v>
      </c>
      <c r="D33"/>
      <c r="E33"/>
      <c r="F33" s="68">
        <v>1092.75</v>
      </c>
    </row>
    <row r="34" spans="1:13" x14ac:dyDescent="0.25">
      <c r="B34"/>
      <c r="C34" t="s">
        <v>381</v>
      </c>
      <c r="D34"/>
      <c r="E34"/>
      <c r="F34">
        <v>1.695E-2</v>
      </c>
    </row>
    <row r="35" spans="1:13" x14ac:dyDescent="0.25">
      <c r="B35"/>
      <c r="C35" t="s">
        <v>384</v>
      </c>
      <c r="D35"/>
      <c r="E35"/>
      <c r="F35" s="68">
        <v>18.52</v>
      </c>
    </row>
    <row r="36" spans="1:13" x14ac:dyDescent="0.25">
      <c r="B36"/>
      <c r="C36"/>
      <c r="D36"/>
      <c r="E36"/>
      <c r="F36"/>
    </row>
    <row r="37" spans="1:13" x14ac:dyDescent="0.25">
      <c r="B37" t="s">
        <v>190</v>
      </c>
      <c r="C37" t="s">
        <v>385</v>
      </c>
      <c r="D37"/>
      <c r="E37"/>
      <c r="F37" s="68">
        <v>1092.75</v>
      </c>
    </row>
    <row r="38" spans="1:13" x14ac:dyDescent="0.25">
      <c r="B38"/>
      <c r="C38" t="s">
        <v>381</v>
      </c>
      <c r="D38"/>
      <c r="E38"/>
      <c r="F38">
        <v>1.695E-2</v>
      </c>
    </row>
    <row r="39" spans="1:13" x14ac:dyDescent="0.25">
      <c r="B39"/>
      <c r="C39" t="s">
        <v>386</v>
      </c>
      <c r="D39"/>
      <c r="E39"/>
      <c r="F39" s="68">
        <v>18.52</v>
      </c>
    </row>
    <row r="40" spans="1:13" x14ac:dyDescent="0.25">
      <c r="B40"/>
      <c r="C40"/>
      <c r="D40"/>
      <c r="E40"/>
      <c r="F40"/>
    </row>
    <row r="41" spans="1:13" x14ac:dyDescent="0.25">
      <c r="B41"/>
      <c r="C41"/>
      <c r="D41" t="s">
        <v>384</v>
      </c>
      <c r="E41"/>
      <c r="F41" s="68">
        <v>18.52</v>
      </c>
    </row>
    <row r="42" spans="1:13" x14ac:dyDescent="0.25">
      <c r="B42"/>
      <c r="C42"/>
      <c r="D42" t="s">
        <v>386</v>
      </c>
      <c r="E42"/>
      <c r="F42" s="68">
        <v>-18.52</v>
      </c>
    </row>
    <row r="43" spans="1:13" x14ac:dyDescent="0.25">
      <c r="B43"/>
      <c r="C43"/>
      <c r="D43" t="s">
        <v>699</v>
      </c>
      <c r="E43"/>
      <c r="F43" t="s">
        <v>757</v>
      </c>
    </row>
    <row r="46" spans="1:13" x14ac:dyDescent="0.25">
      <c r="A46" s="84" t="s">
        <v>17</v>
      </c>
      <c r="B46" s="84" t="s">
        <v>18</v>
      </c>
    </row>
    <row r="48" spans="1:13" x14ac:dyDescent="0.25">
      <c r="B48" t="s">
        <v>320</v>
      </c>
      <c r="C48"/>
      <c r="D48"/>
      <c r="E48" s="68">
        <v>775.83</v>
      </c>
      <c r="F48" s="86"/>
      <c r="G48" s="86"/>
      <c r="H48" s="86"/>
      <c r="I48" s="86"/>
      <c r="J48" s="86"/>
      <c r="K48" s="86"/>
      <c r="L48" s="86"/>
      <c r="M48" s="86"/>
    </row>
    <row r="49" spans="1:13" x14ac:dyDescent="0.25">
      <c r="B49" s="1" t="s">
        <v>381</v>
      </c>
      <c r="C49" s="1"/>
      <c r="D49" s="1"/>
      <c r="E49" s="1">
        <v>1.695E-2</v>
      </c>
      <c r="F49" s="86"/>
      <c r="G49" s="86"/>
      <c r="H49" s="86"/>
      <c r="I49" s="86"/>
      <c r="J49" s="86"/>
      <c r="K49" s="86"/>
      <c r="L49" s="86"/>
      <c r="M49" s="86"/>
    </row>
    <row r="50" spans="1:13" x14ac:dyDescent="0.25">
      <c r="B50" s="1" t="s">
        <v>699</v>
      </c>
      <c r="C50" s="1"/>
      <c r="D50" s="1"/>
      <c r="E50" s="81">
        <v>13.15</v>
      </c>
      <c r="F50" s="86"/>
      <c r="G50" s="86"/>
      <c r="H50" s="86"/>
      <c r="I50" s="86"/>
      <c r="J50" s="86"/>
      <c r="K50" s="86"/>
      <c r="L50" s="86"/>
      <c r="M50" s="86"/>
    </row>
    <row r="53" spans="1:13" x14ac:dyDescent="0.25">
      <c r="A53" s="84" t="s">
        <v>20</v>
      </c>
      <c r="B53" s="84" t="s">
        <v>21</v>
      </c>
    </row>
    <row r="55" spans="1:13" x14ac:dyDescent="0.25">
      <c r="B55" t="s">
        <v>388</v>
      </c>
      <c r="C55" t="s">
        <v>178</v>
      </c>
      <c r="D55"/>
      <c r="E55" t="s">
        <v>5</v>
      </c>
      <c r="F55" s="68">
        <v>728.5</v>
      </c>
    </row>
    <row r="56" spans="1:13" x14ac:dyDescent="0.25">
      <c r="B56"/>
      <c r="C56" t="s">
        <v>156</v>
      </c>
      <c r="D56"/>
      <c r="E56" t="s">
        <v>14</v>
      </c>
      <c r="F56">
        <v>1.695E-2</v>
      </c>
    </row>
    <row r="57" spans="1:13" x14ac:dyDescent="0.25">
      <c r="B57"/>
      <c r="C57"/>
      <c r="D57"/>
      <c r="E57" t="s">
        <v>14</v>
      </c>
      <c r="F57" s="68">
        <v>12.35</v>
      </c>
    </row>
    <row r="58" spans="1:13" x14ac:dyDescent="0.25">
      <c r="B58"/>
      <c r="C58"/>
      <c r="D58"/>
      <c r="E58"/>
      <c r="F58"/>
    </row>
    <row r="59" spans="1:13" x14ac:dyDescent="0.25">
      <c r="B59" t="s">
        <v>389</v>
      </c>
      <c r="C59" t="s">
        <v>178</v>
      </c>
      <c r="D59"/>
      <c r="E59"/>
      <c r="F59" s="68">
        <v>665</v>
      </c>
    </row>
    <row r="60" spans="1:13" x14ac:dyDescent="0.25">
      <c r="B60"/>
      <c r="C60" t="s">
        <v>156</v>
      </c>
      <c r="D60"/>
      <c r="E60"/>
      <c r="F60">
        <v>1.695E-2</v>
      </c>
    </row>
    <row r="61" spans="1:13" x14ac:dyDescent="0.25">
      <c r="B61"/>
      <c r="C61"/>
      <c r="D61"/>
      <c r="E61"/>
      <c r="F61" s="68">
        <v>11.27</v>
      </c>
    </row>
    <row r="62" spans="1:13" x14ac:dyDescent="0.25">
      <c r="B62"/>
      <c r="C62"/>
      <c r="D62"/>
      <c r="E62"/>
      <c r="F62"/>
    </row>
    <row r="63" spans="1:13" x14ac:dyDescent="0.25">
      <c r="B63"/>
      <c r="C63" t="s">
        <v>390</v>
      </c>
      <c r="D63"/>
      <c r="E63"/>
      <c r="F63" s="68">
        <v>12.35</v>
      </c>
    </row>
    <row r="64" spans="1:13" x14ac:dyDescent="0.25">
      <c r="B64"/>
      <c r="C64" t="s">
        <v>389</v>
      </c>
      <c r="D64"/>
      <c r="E64"/>
      <c r="F64" s="68">
        <v>-11.27</v>
      </c>
    </row>
    <row r="65" spans="1:13" x14ac:dyDescent="0.25">
      <c r="B65" s="1"/>
      <c r="C65" s="1" t="s">
        <v>700</v>
      </c>
      <c r="D65" s="1"/>
      <c r="E65" s="1"/>
      <c r="F65" s="81">
        <v>1.08</v>
      </c>
    </row>
    <row r="68" spans="1:13" x14ac:dyDescent="0.25">
      <c r="A68" s="84" t="s">
        <v>22</v>
      </c>
      <c r="B68" s="84" t="s">
        <v>23</v>
      </c>
    </row>
    <row r="69" spans="1:13" ht="40.5" customHeight="1" x14ac:dyDescent="0.25">
      <c r="B69" s="459" t="s">
        <v>24</v>
      </c>
      <c r="C69" s="459"/>
      <c r="D69" s="459"/>
      <c r="E69" s="459"/>
      <c r="F69" s="459"/>
      <c r="G69" s="459"/>
      <c r="H69" s="459"/>
      <c r="I69" s="459"/>
      <c r="J69" s="459"/>
      <c r="K69" s="459"/>
      <c r="L69" s="86"/>
      <c r="M69" s="86"/>
    </row>
    <row r="70" spans="1:13" x14ac:dyDescent="0.25">
      <c r="B70" s="88"/>
      <c r="C70" s="88"/>
      <c r="D70" s="88"/>
      <c r="E70" s="88"/>
      <c r="F70" s="88"/>
      <c r="G70" s="88"/>
      <c r="H70" s="88"/>
      <c r="I70" s="88"/>
      <c r="J70" s="88"/>
      <c r="K70" s="88"/>
      <c r="L70" s="86"/>
      <c r="M70" s="86"/>
    </row>
    <row r="71" spans="1:13" x14ac:dyDescent="0.25">
      <c r="B71" t="s">
        <v>150</v>
      </c>
      <c r="C71" s="2"/>
      <c r="D71" s="2"/>
      <c r="E71" s="2"/>
      <c r="F71" s="88"/>
      <c r="G71" s="88"/>
      <c r="H71" s="88"/>
      <c r="I71" s="88"/>
      <c r="J71" s="88"/>
      <c r="K71" s="88"/>
      <c r="L71" s="86"/>
      <c r="M71" s="86"/>
    </row>
    <row r="72" spans="1:13" x14ac:dyDescent="0.25">
      <c r="B72" t="s">
        <v>320</v>
      </c>
      <c r="C72"/>
      <c r="D72"/>
      <c r="E72" s="68">
        <v>610</v>
      </c>
    </row>
    <row r="73" spans="1:13" x14ac:dyDescent="0.25">
      <c r="B73" t="s">
        <v>381</v>
      </c>
      <c r="C73"/>
      <c r="D73"/>
      <c r="E73">
        <v>1.695E-2</v>
      </c>
    </row>
    <row r="74" spans="1:13" x14ac:dyDescent="0.25">
      <c r="B74" t="s">
        <v>699</v>
      </c>
      <c r="C74"/>
      <c r="D74"/>
      <c r="E74" s="68">
        <v>10.34</v>
      </c>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row r="81" spans="2:13" x14ac:dyDescent="0.25">
      <c r="B81" s="86"/>
      <c r="C81" s="86"/>
      <c r="D81" s="86"/>
      <c r="E81" s="86"/>
      <c r="F81" s="86"/>
      <c r="G81" s="86"/>
      <c r="H81" s="86"/>
      <c r="I81" s="86"/>
      <c r="J81" s="86"/>
      <c r="K81" s="86"/>
      <c r="L81" s="86"/>
      <c r="M81" s="86"/>
    </row>
  </sheetData>
  <mergeCells count="3">
    <mergeCell ref="A1:I1"/>
    <mergeCell ref="A3:K6"/>
    <mergeCell ref="B69:K69"/>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B9DD6-C4E7-4F3D-A688-362D1F91FAF3}">
  <dimension ref="A1:T80"/>
  <sheetViews>
    <sheetView tabSelected="1" workbookViewId="0">
      <selection activeCell="E11" sqref="E11"/>
    </sheetView>
  </sheetViews>
  <sheetFormatPr defaultColWidth="9.140625" defaultRowHeight="15" x14ac:dyDescent="0.25"/>
  <cols>
    <col min="1" max="6" width="9.140625" style="84"/>
    <col min="7" max="7" width="18.7109375" style="84" customWidth="1"/>
    <col min="8" max="8" width="9.140625" style="84"/>
    <col min="9" max="9" width="11.28515625" style="84" bestFit="1" customWidth="1"/>
    <col min="10" max="10" width="10.7109375" style="84" customWidth="1"/>
    <col min="11" max="14" width="9.140625" style="84"/>
    <col min="15" max="15" width="14.7109375" style="84" customWidth="1"/>
    <col min="16" max="16" width="9.140625" style="84"/>
    <col min="17" max="17" width="12" style="84" customWidth="1"/>
    <col min="18" max="16384" width="9.140625" style="84"/>
  </cols>
  <sheetData>
    <row r="1" spans="1:20" ht="21" x14ac:dyDescent="0.35">
      <c r="A1" s="457" t="s">
        <v>1564</v>
      </c>
      <c r="B1" s="457"/>
      <c r="C1" s="457"/>
      <c r="D1" s="457"/>
      <c r="E1" s="457"/>
      <c r="F1" s="457"/>
      <c r="G1" s="457"/>
      <c r="H1" s="457"/>
      <c r="I1" s="457"/>
    </row>
    <row r="2" spans="1:20" ht="21" x14ac:dyDescent="0.35">
      <c r="A2" s="83"/>
      <c r="B2" s="83"/>
      <c r="C2" s="83"/>
      <c r="D2" s="83"/>
      <c r="E2" s="83"/>
      <c r="F2" s="83"/>
      <c r="G2" s="83"/>
      <c r="H2" s="83"/>
      <c r="I2" s="83"/>
    </row>
    <row r="3" spans="1:20" ht="15" customHeight="1" x14ac:dyDescent="0.25">
      <c r="A3" s="458" t="s">
        <v>1068</v>
      </c>
      <c r="B3" s="458"/>
      <c r="C3" s="458"/>
      <c r="D3" s="458"/>
      <c r="E3" s="458"/>
      <c r="F3" s="458"/>
      <c r="G3" s="458"/>
      <c r="H3" s="458"/>
      <c r="I3" s="458"/>
      <c r="J3" s="458"/>
      <c r="K3" s="458"/>
      <c r="L3" s="85"/>
      <c r="M3" s="85"/>
    </row>
    <row r="4" spans="1:20" x14ac:dyDescent="0.25">
      <c r="A4" s="458"/>
      <c r="B4" s="458"/>
      <c r="C4" s="458"/>
      <c r="D4" s="458"/>
      <c r="E4" s="458"/>
      <c r="F4" s="458"/>
      <c r="G4" s="458"/>
      <c r="H4" s="458"/>
      <c r="I4" s="458"/>
      <c r="J4" s="458"/>
      <c r="K4" s="458"/>
      <c r="L4" s="85"/>
      <c r="M4" s="85"/>
    </row>
    <row r="5" spans="1:20" x14ac:dyDescent="0.25">
      <c r="A5" s="458"/>
      <c r="B5" s="458"/>
      <c r="C5" s="458"/>
      <c r="D5" s="458"/>
      <c r="E5" s="458"/>
      <c r="F5" s="458"/>
      <c r="G5" s="458"/>
      <c r="H5" s="458"/>
      <c r="I5" s="458"/>
      <c r="J5" s="458"/>
      <c r="K5" s="458"/>
      <c r="L5" s="85"/>
      <c r="M5" s="85"/>
    </row>
    <row r="6" spans="1:20" x14ac:dyDescent="0.25">
      <c r="A6" s="458"/>
      <c r="B6" s="458"/>
      <c r="C6" s="458"/>
      <c r="D6" s="458"/>
      <c r="E6" s="458"/>
      <c r="F6" s="458"/>
      <c r="G6" s="458"/>
      <c r="H6" s="458"/>
      <c r="I6" s="458"/>
      <c r="J6" s="458"/>
      <c r="K6" s="458"/>
      <c r="L6" s="85"/>
      <c r="M6" s="85"/>
    </row>
    <row r="7" spans="1:20" x14ac:dyDescent="0.25">
      <c r="A7" s="535"/>
      <c r="B7" s="535"/>
      <c r="C7" s="535"/>
      <c r="D7" s="535"/>
      <c r="E7" s="535"/>
      <c r="F7" s="535"/>
      <c r="G7" s="535"/>
      <c r="H7" s="535"/>
      <c r="I7" s="535"/>
      <c r="J7" s="535"/>
      <c r="K7" s="535"/>
      <c r="L7" s="535"/>
      <c r="M7" s="535"/>
      <c r="N7" s="535"/>
      <c r="O7" s="535"/>
      <c r="P7" s="535"/>
      <c r="Q7" s="535"/>
      <c r="R7" s="535"/>
      <c r="S7" s="535"/>
      <c r="T7" s="535"/>
    </row>
    <row r="8" spans="1:20" x14ac:dyDescent="0.25">
      <c r="A8" s="535"/>
      <c r="B8" s="535"/>
      <c r="C8" s="535"/>
      <c r="D8" s="535"/>
      <c r="E8" s="535"/>
      <c r="F8" s="535"/>
      <c r="G8" s="535"/>
      <c r="H8" s="535"/>
      <c r="I8" s="535"/>
      <c r="J8" s="535"/>
      <c r="K8" s="535"/>
      <c r="L8" s="535"/>
      <c r="M8" s="535"/>
      <c r="N8" s="535"/>
      <c r="O8" s="535"/>
      <c r="P8" s="535"/>
      <c r="Q8" s="535"/>
      <c r="R8" s="535"/>
      <c r="S8" s="535"/>
      <c r="T8" s="535"/>
    </row>
    <row r="9" spans="1:20" x14ac:dyDescent="0.25">
      <c r="A9" s="535"/>
      <c r="B9" s="536" t="s">
        <v>2</v>
      </c>
      <c r="C9" s="536" t="s">
        <v>3</v>
      </c>
      <c r="D9" s="536"/>
      <c r="E9" s="536"/>
      <c r="F9" s="536"/>
      <c r="G9" s="536"/>
      <c r="H9" s="536"/>
      <c r="I9" s="535"/>
      <c r="J9" s="535"/>
      <c r="K9" s="535"/>
      <c r="L9" s="535"/>
      <c r="M9" s="535"/>
      <c r="N9" s="535"/>
      <c r="O9" s="535"/>
      <c r="P9" s="535"/>
      <c r="Q9" s="535"/>
      <c r="R9" s="535"/>
      <c r="S9" s="535"/>
      <c r="T9" s="535"/>
    </row>
    <row r="10" spans="1:20" x14ac:dyDescent="0.25">
      <c r="A10" s="535"/>
      <c r="B10" s="536"/>
      <c r="C10" s="536" t="s">
        <v>4</v>
      </c>
      <c r="D10" s="536"/>
      <c r="E10" s="536"/>
      <c r="F10" s="536"/>
      <c r="G10" s="536"/>
      <c r="H10" s="536"/>
      <c r="I10" s="535"/>
      <c r="J10" s="535"/>
      <c r="K10" s="535"/>
      <c r="L10" s="535"/>
      <c r="M10" s="535"/>
      <c r="N10" s="535"/>
      <c r="O10" s="535"/>
      <c r="P10" s="535"/>
      <c r="Q10" s="535"/>
      <c r="R10" s="535"/>
      <c r="S10" s="535"/>
      <c r="T10" s="535"/>
    </row>
    <row r="11" spans="1:20" x14ac:dyDescent="0.25">
      <c r="A11" s="535"/>
      <c r="B11" s="536" t="s">
        <v>5</v>
      </c>
      <c r="C11" s="536" t="s">
        <v>6</v>
      </c>
      <c r="D11" s="536"/>
      <c r="E11" s="536"/>
      <c r="F11" s="536"/>
      <c r="G11" s="536"/>
      <c r="H11" s="536"/>
      <c r="I11" s="535"/>
      <c r="J11" s="535"/>
      <c r="K11" s="535"/>
      <c r="L11" s="535"/>
      <c r="M11" s="535"/>
      <c r="N11" s="535"/>
      <c r="O11" s="535"/>
      <c r="P11" s="535"/>
      <c r="Q11" s="535"/>
      <c r="R11" s="535"/>
      <c r="S11" s="535"/>
      <c r="T11" s="535"/>
    </row>
    <row r="12" spans="1:20" x14ac:dyDescent="0.25">
      <c r="A12" s="535"/>
      <c r="B12" s="536"/>
      <c r="C12" s="536" t="s">
        <v>7</v>
      </c>
      <c r="D12" s="536"/>
      <c r="E12" s="536"/>
      <c r="F12" s="536"/>
      <c r="G12" s="536"/>
      <c r="H12" s="536"/>
      <c r="I12" s="535"/>
      <c r="J12" s="535"/>
      <c r="K12" s="535"/>
      <c r="L12" s="535"/>
      <c r="M12" s="535"/>
      <c r="N12" s="535"/>
      <c r="O12" s="535"/>
      <c r="P12" s="535"/>
      <c r="Q12" s="535"/>
      <c r="R12" s="535"/>
      <c r="S12" s="535"/>
      <c r="T12" s="535"/>
    </row>
    <row r="13" spans="1:20" x14ac:dyDescent="0.25">
      <c r="A13" s="535"/>
      <c r="B13" s="536"/>
      <c r="C13" s="536" t="s">
        <v>8</v>
      </c>
      <c r="D13" s="536"/>
      <c r="E13" s="536"/>
      <c r="F13" s="536"/>
      <c r="G13" s="536"/>
      <c r="H13" s="536"/>
      <c r="I13" s="535"/>
      <c r="J13" s="535"/>
      <c r="K13" s="535"/>
      <c r="L13" s="535"/>
      <c r="M13" s="535"/>
      <c r="N13" s="535"/>
      <c r="O13" s="535"/>
      <c r="P13" s="535"/>
      <c r="Q13" s="535"/>
      <c r="R13" s="535"/>
      <c r="S13" s="535"/>
      <c r="T13" s="535"/>
    </row>
    <row r="14" spans="1:20" x14ac:dyDescent="0.25">
      <c r="A14" s="535"/>
      <c r="B14" s="536"/>
      <c r="C14" s="536" t="s">
        <v>9</v>
      </c>
      <c r="D14" s="536"/>
      <c r="E14" s="536"/>
      <c r="F14" s="536"/>
      <c r="G14" s="536"/>
      <c r="H14" s="536"/>
      <c r="I14" s="535"/>
      <c r="J14" s="535"/>
      <c r="K14" s="535"/>
      <c r="L14" s="535"/>
      <c r="M14" s="535"/>
      <c r="N14" s="535"/>
      <c r="O14" s="535"/>
      <c r="P14" s="535"/>
      <c r="Q14" s="535"/>
      <c r="R14" s="535"/>
      <c r="S14" s="535"/>
      <c r="T14" s="535"/>
    </row>
    <row r="15" spans="1:20" x14ac:dyDescent="0.25">
      <c r="A15" s="535"/>
      <c r="B15" s="535"/>
      <c r="C15" s="535"/>
      <c r="D15" s="535"/>
      <c r="E15" s="535"/>
      <c r="F15" s="535"/>
      <c r="G15" s="535"/>
      <c r="H15" s="535"/>
      <c r="I15" s="535"/>
      <c r="J15" s="535"/>
      <c r="K15" s="535"/>
      <c r="L15" s="535"/>
      <c r="M15" s="535"/>
      <c r="N15" s="535"/>
      <c r="O15" s="535"/>
      <c r="P15" s="535"/>
      <c r="Q15" s="535"/>
      <c r="R15" s="535"/>
      <c r="S15" s="535"/>
      <c r="T15" s="535"/>
    </row>
    <row r="16" spans="1:20" x14ac:dyDescent="0.25">
      <c r="A16" s="535"/>
      <c r="B16" s="535"/>
      <c r="C16" s="535"/>
      <c r="D16" s="535"/>
      <c r="E16" s="535"/>
      <c r="F16" s="535"/>
      <c r="G16" s="535"/>
      <c r="H16" s="535"/>
      <c r="I16" s="535"/>
      <c r="J16" s="535"/>
      <c r="K16" s="535"/>
      <c r="L16" s="535"/>
      <c r="M16" s="535"/>
      <c r="N16" s="535"/>
      <c r="O16" s="535"/>
      <c r="P16" s="535"/>
      <c r="Q16" s="535"/>
      <c r="R16" s="535"/>
      <c r="S16" s="535"/>
      <c r="T16" s="535"/>
    </row>
    <row r="17" spans="1:20" x14ac:dyDescent="0.25">
      <c r="A17" s="535" t="s">
        <v>10</v>
      </c>
      <c r="B17" s="535" t="s">
        <v>11</v>
      </c>
      <c r="C17" s="535"/>
      <c r="D17" s="535"/>
      <c r="E17" s="535"/>
      <c r="F17" s="535"/>
      <c r="G17" s="535"/>
      <c r="H17" s="535"/>
      <c r="I17" s="535"/>
      <c r="J17" s="535"/>
      <c r="K17" s="535"/>
      <c r="L17" s="535"/>
      <c r="M17" s="535"/>
      <c r="N17" s="535"/>
      <c r="O17" s="535"/>
      <c r="P17" s="535"/>
      <c r="Q17" s="535"/>
      <c r="R17" s="535"/>
      <c r="S17" s="535"/>
      <c r="T17" s="535"/>
    </row>
    <row r="18" spans="1:20" x14ac:dyDescent="0.25">
      <c r="A18" s="535"/>
      <c r="B18" s="535"/>
      <c r="C18" s="535"/>
      <c r="D18" s="535"/>
      <c r="E18" s="535"/>
      <c r="F18" s="535"/>
      <c r="G18" s="535"/>
      <c r="H18" s="535"/>
      <c r="I18" s="535"/>
      <c r="J18" s="535"/>
      <c r="K18" s="535"/>
      <c r="L18" s="535"/>
      <c r="M18" s="535"/>
      <c r="N18" s="535"/>
      <c r="O18" s="535"/>
      <c r="P18" s="535"/>
      <c r="Q18" s="535"/>
      <c r="R18" s="535"/>
      <c r="S18" s="535"/>
      <c r="T18" s="535"/>
    </row>
    <row r="19" spans="1:20" x14ac:dyDescent="0.25">
      <c r="A19" s="535"/>
      <c r="B19" s="535"/>
      <c r="C19" s="535"/>
      <c r="D19" s="535"/>
      <c r="E19" s="535"/>
      <c r="F19" s="535"/>
      <c r="G19" s="535"/>
      <c r="H19" s="535"/>
      <c r="I19" s="535"/>
      <c r="J19" s="535"/>
      <c r="K19" s="535"/>
      <c r="L19" s="535"/>
      <c r="M19" s="535"/>
      <c r="N19" s="535"/>
      <c r="O19" s="535"/>
      <c r="P19" s="535"/>
      <c r="Q19" s="535"/>
      <c r="R19" s="535"/>
      <c r="S19" s="535"/>
      <c r="T19" s="535"/>
    </row>
    <row r="20" spans="1:20" x14ac:dyDescent="0.25">
      <c r="A20" s="535"/>
      <c r="B20" s="536" t="s">
        <v>2</v>
      </c>
      <c r="C20" s="536" t="s">
        <v>3</v>
      </c>
      <c r="D20" s="536"/>
      <c r="E20" s="536"/>
      <c r="F20" s="535"/>
      <c r="G20" s="535"/>
      <c r="H20" s="535"/>
      <c r="I20" s="535"/>
      <c r="J20" s="535"/>
      <c r="K20" s="535"/>
      <c r="L20" s="535"/>
      <c r="M20" s="535"/>
      <c r="N20" s="535"/>
      <c r="O20" s="535"/>
      <c r="P20" s="535"/>
      <c r="Q20" s="535"/>
      <c r="R20" s="535"/>
      <c r="S20" s="535"/>
      <c r="T20" s="535"/>
    </row>
    <row r="21" spans="1:20" x14ac:dyDescent="0.25">
      <c r="A21" s="535"/>
      <c r="B21" s="536"/>
      <c r="C21" s="536" t="s">
        <v>1565</v>
      </c>
      <c r="D21" s="536"/>
      <c r="E21" s="536"/>
      <c r="F21" s="535"/>
      <c r="G21" s="538" t="s">
        <v>179</v>
      </c>
      <c r="H21" s="538"/>
      <c r="I21" s="533">
        <v>1386.5</v>
      </c>
      <c r="J21" s="535"/>
      <c r="K21" s="535"/>
      <c r="L21" s="535"/>
      <c r="M21" s="535"/>
      <c r="N21" s="535"/>
      <c r="O21" s="535"/>
      <c r="P21" s="535"/>
      <c r="Q21" s="535"/>
      <c r="R21" s="535"/>
      <c r="S21" s="535"/>
      <c r="T21" s="535"/>
    </row>
    <row r="22" spans="1:20" x14ac:dyDescent="0.25">
      <c r="A22" s="535"/>
      <c r="B22" s="536" t="s">
        <v>5</v>
      </c>
      <c r="C22" s="536" t="s">
        <v>1566</v>
      </c>
      <c r="D22" s="536"/>
      <c r="E22" s="536"/>
      <c r="F22" s="535"/>
      <c r="G22" s="540" t="s">
        <v>1566</v>
      </c>
      <c r="H22" s="538"/>
      <c r="I22" s="539" t="s">
        <v>1685</v>
      </c>
      <c r="J22" s="535"/>
      <c r="K22" s="535"/>
      <c r="L22" s="535"/>
      <c r="M22" s="535"/>
      <c r="N22" s="535"/>
      <c r="O22" s="535"/>
      <c r="P22" s="535"/>
      <c r="Q22" s="535"/>
      <c r="R22" s="535"/>
      <c r="S22" s="535"/>
      <c r="T22" s="535"/>
    </row>
    <row r="23" spans="1:20" x14ac:dyDescent="0.25">
      <c r="A23" s="535"/>
      <c r="B23" s="536"/>
      <c r="C23" s="536" t="s">
        <v>1567</v>
      </c>
      <c r="D23" s="536"/>
      <c r="E23" s="536"/>
      <c r="F23" s="535"/>
      <c r="G23" s="540" t="s">
        <v>1568</v>
      </c>
      <c r="H23" s="538"/>
      <c r="I23" s="533">
        <v>1386.5</v>
      </c>
      <c r="J23" s="535"/>
      <c r="K23" s="535"/>
      <c r="L23" s="535"/>
      <c r="M23" s="535"/>
      <c r="N23" s="535"/>
      <c r="O23" s="535"/>
      <c r="P23" s="535"/>
      <c r="Q23" s="535"/>
      <c r="R23" s="535"/>
      <c r="S23" s="535"/>
      <c r="T23" s="535"/>
    </row>
    <row r="24" spans="1:20" x14ac:dyDescent="0.25">
      <c r="A24" s="535"/>
      <c r="B24" s="536"/>
      <c r="C24" s="536" t="s">
        <v>8</v>
      </c>
      <c r="D24" s="536"/>
      <c r="E24" s="536"/>
      <c r="F24" s="535"/>
      <c r="G24" s="540" t="s">
        <v>1569</v>
      </c>
      <c r="H24" s="538"/>
      <c r="I24" s="538"/>
      <c r="J24" s="535"/>
      <c r="K24" s="535"/>
      <c r="L24" s="535"/>
      <c r="M24" s="535"/>
      <c r="N24" s="535"/>
      <c r="O24" s="535"/>
      <c r="P24" s="535"/>
      <c r="Q24" s="535"/>
      <c r="R24" s="535"/>
      <c r="S24" s="535"/>
      <c r="T24" s="535"/>
    </row>
    <row r="25" spans="1:20" x14ac:dyDescent="0.25">
      <c r="A25" s="535"/>
      <c r="B25" s="536"/>
      <c r="C25" s="536" t="s">
        <v>1570</v>
      </c>
      <c r="D25" s="536"/>
      <c r="E25" s="536"/>
      <c r="F25" s="535"/>
      <c r="G25" s="538" t="s">
        <v>425</v>
      </c>
      <c r="H25" s="538"/>
      <c r="I25" s="533">
        <v>23.5</v>
      </c>
      <c r="J25" s="535"/>
      <c r="K25" s="535"/>
      <c r="L25" s="535"/>
      <c r="M25" s="535"/>
      <c r="N25" s="535"/>
      <c r="O25" s="535"/>
      <c r="P25" s="535"/>
      <c r="Q25" s="535"/>
      <c r="R25" s="535"/>
      <c r="S25" s="535"/>
      <c r="T25" s="535"/>
    </row>
    <row r="26" spans="1:20" x14ac:dyDescent="0.25">
      <c r="A26" s="535"/>
      <c r="B26" s="535"/>
      <c r="C26" s="535"/>
      <c r="D26" s="535"/>
      <c r="E26" s="535"/>
      <c r="F26" s="535"/>
      <c r="G26" s="535"/>
      <c r="H26" s="535"/>
      <c r="I26" s="535"/>
      <c r="J26" s="535"/>
      <c r="K26" s="535"/>
      <c r="L26" s="535"/>
      <c r="M26" s="535"/>
      <c r="N26" s="535"/>
      <c r="O26" s="535"/>
      <c r="P26" s="535"/>
      <c r="Q26" s="535"/>
      <c r="R26" s="535"/>
      <c r="S26" s="535"/>
      <c r="T26" s="535"/>
    </row>
    <row r="27" spans="1:20" x14ac:dyDescent="0.25">
      <c r="A27" s="535" t="s">
        <v>12</v>
      </c>
      <c r="B27" s="535" t="s">
        <v>13</v>
      </c>
      <c r="C27" s="535"/>
      <c r="D27" s="535"/>
      <c r="E27" s="535"/>
      <c r="F27" s="535"/>
      <c r="G27" s="535"/>
      <c r="H27" s="535"/>
      <c r="I27" s="535"/>
      <c r="J27" s="535"/>
      <c r="K27" s="535"/>
      <c r="L27" s="535"/>
      <c r="M27" s="535"/>
      <c r="N27" s="535"/>
      <c r="O27" s="535"/>
      <c r="P27" s="535"/>
      <c r="Q27" s="535"/>
      <c r="R27" s="535"/>
      <c r="S27" s="535"/>
      <c r="T27" s="535"/>
    </row>
    <row r="28" spans="1:20" x14ac:dyDescent="0.25">
      <c r="A28" s="535"/>
      <c r="B28" s="535"/>
      <c r="C28" s="535"/>
      <c r="D28" s="535"/>
      <c r="E28" s="535"/>
      <c r="F28" s="535"/>
      <c r="G28" s="535"/>
      <c r="H28" s="535"/>
      <c r="I28" s="535"/>
      <c r="J28" s="535"/>
      <c r="K28" s="535"/>
      <c r="L28" s="535"/>
      <c r="M28" s="535"/>
      <c r="N28" s="535"/>
      <c r="O28" s="535"/>
      <c r="P28" s="535"/>
      <c r="Q28" s="535"/>
      <c r="R28" s="535"/>
      <c r="S28" s="535"/>
      <c r="T28" s="535"/>
    </row>
    <row r="29" spans="1:20" x14ac:dyDescent="0.25">
      <c r="A29" s="535"/>
      <c r="B29" s="536" t="s">
        <v>2</v>
      </c>
      <c r="C29" s="536" t="s">
        <v>3</v>
      </c>
      <c r="D29" s="536"/>
      <c r="E29" s="536"/>
      <c r="F29" s="535"/>
      <c r="G29" s="535"/>
      <c r="H29" s="535"/>
      <c r="I29" s="535"/>
      <c r="J29" s="535"/>
      <c r="K29" s="535"/>
      <c r="L29" s="535"/>
      <c r="M29" s="535"/>
      <c r="N29" s="535"/>
      <c r="O29" s="535"/>
      <c r="P29" s="535"/>
      <c r="Q29" s="535"/>
      <c r="R29" s="535"/>
      <c r="S29" s="535"/>
      <c r="T29" s="535"/>
    </row>
    <row r="30" spans="1:20" x14ac:dyDescent="0.25">
      <c r="A30" s="535"/>
      <c r="B30" s="536"/>
      <c r="C30" s="536" t="s">
        <v>1565</v>
      </c>
      <c r="D30" s="536"/>
      <c r="E30" s="536"/>
      <c r="F30" s="535"/>
      <c r="G30" s="538" t="s">
        <v>179</v>
      </c>
      <c r="H30" s="538"/>
      <c r="I30" s="533">
        <v>1386.5</v>
      </c>
      <c r="J30" s="535"/>
      <c r="K30" s="535"/>
      <c r="L30" s="535"/>
      <c r="M30" s="535"/>
      <c r="N30" s="535"/>
      <c r="O30" s="535"/>
      <c r="P30" s="535"/>
      <c r="Q30" s="535"/>
      <c r="R30" s="535"/>
      <c r="S30" s="535"/>
      <c r="T30" s="535"/>
    </row>
    <row r="31" spans="1:20" x14ac:dyDescent="0.25">
      <c r="A31" s="535"/>
      <c r="B31" s="536" t="s">
        <v>5</v>
      </c>
      <c r="C31" s="536" t="s">
        <v>1566</v>
      </c>
      <c r="D31" s="536"/>
      <c r="E31" s="536"/>
      <c r="F31" s="535"/>
      <c r="G31" s="540" t="s">
        <v>1566</v>
      </c>
      <c r="H31" s="538"/>
      <c r="I31" s="539" t="s">
        <v>1685</v>
      </c>
      <c r="J31" s="535"/>
      <c r="K31" s="535"/>
      <c r="L31" s="535"/>
      <c r="M31" s="535"/>
      <c r="N31" s="535"/>
      <c r="O31" s="535"/>
      <c r="P31" s="535"/>
      <c r="Q31" s="535"/>
      <c r="R31" s="535"/>
      <c r="S31" s="535"/>
      <c r="T31" s="535"/>
    </row>
    <row r="32" spans="1:20" x14ac:dyDescent="0.25">
      <c r="A32" s="535"/>
      <c r="B32" s="536"/>
      <c r="C32" s="536" t="s">
        <v>1567</v>
      </c>
      <c r="D32" s="536"/>
      <c r="E32" s="536"/>
      <c r="F32" s="535"/>
      <c r="G32" s="540" t="s">
        <v>1568</v>
      </c>
      <c r="H32" s="538"/>
      <c r="I32" s="533">
        <v>1386.5</v>
      </c>
      <c r="J32" s="535"/>
      <c r="K32" s="535"/>
      <c r="L32" s="535"/>
      <c r="M32" s="535"/>
      <c r="N32" s="535"/>
      <c r="O32" s="535"/>
      <c r="P32" s="535"/>
      <c r="Q32" s="535"/>
      <c r="R32" s="535"/>
      <c r="S32" s="535"/>
      <c r="T32" s="535"/>
    </row>
    <row r="33" spans="1:20" x14ac:dyDescent="0.25">
      <c r="A33" s="535"/>
      <c r="B33" s="536"/>
      <c r="C33" s="536" t="s">
        <v>8</v>
      </c>
      <c r="D33" s="536"/>
      <c r="E33" s="536"/>
      <c r="F33" s="535"/>
      <c r="G33" s="540" t="s">
        <v>1569</v>
      </c>
      <c r="H33" s="538"/>
      <c r="I33" s="538"/>
      <c r="J33" s="535"/>
      <c r="K33" s="535"/>
      <c r="L33" s="535"/>
      <c r="M33" s="535"/>
      <c r="N33" s="535"/>
      <c r="O33" s="535"/>
      <c r="P33" s="535"/>
      <c r="Q33" s="535"/>
      <c r="R33" s="535"/>
      <c r="S33" s="535"/>
      <c r="T33" s="535"/>
    </row>
    <row r="34" spans="1:20" x14ac:dyDescent="0.25">
      <c r="A34" s="535"/>
      <c r="B34" s="536"/>
      <c r="C34" s="536" t="s">
        <v>1570</v>
      </c>
      <c r="D34" s="536"/>
      <c r="E34" s="536"/>
      <c r="F34" s="535"/>
      <c r="G34" s="538" t="s">
        <v>425</v>
      </c>
      <c r="H34" s="538"/>
      <c r="I34" s="533">
        <v>23.5</v>
      </c>
      <c r="J34" s="535"/>
      <c r="K34" s="535"/>
      <c r="L34" s="535"/>
      <c r="M34" s="535"/>
      <c r="N34" s="535"/>
      <c r="O34" s="535"/>
      <c r="P34" s="535"/>
      <c r="Q34" s="535"/>
      <c r="R34" s="535"/>
      <c r="S34" s="535"/>
      <c r="T34" s="535"/>
    </row>
    <row r="35" spans="1:20" x14ac:dyDescent="0.25">
      <c r="A35" s="535"/>
      <c r="B35" s="535"/>
      <c r="C35" s="535"/>
      <c r="D35" s="535"/>
      <c r="E35" s="535"/>
      <c r="F35" s="535"/>
      <c r="G35" s="535"/>
      <c r="H35" s="535"/>
      <c r="I35" s="535"/>
      <c r="J35" s="535"/>
      <c r="K35" s="535"/>
      <c r="L35" s="535"/>
      <c r="M35" s="535"/>
      <c r="N35" s="535"/>
      <c r="O35" s="535"/>
      <c r="P35" s="535"/>
      <c r="Q35" s="535"/>
      <c r="R35" s="535"/>
      <c r="S35" s="535"/>
      <c r="T35" s="535"/>
    </row>
    <row r="36" spans="1:20" x14ac:dyDescent="0.25">
      <c r="A36" s="535"/>
      <c r="B36" s="535"/>
      <c r="C36" s="535"/>
      <c r="D36" s="535"/>
      <c r="E36" s="535"/>
      <c r="F36" s="535"/>
      <c r="G36" s="535"/>
      <c r="H36" s="535"/>
      <c r="I36" s="535"/>
      <c r="J36" s="535"/>
      <c r="K36" s="535"/>
      <c r="L36" s="535"/>
      <c r="M36" s="535"/>
      <c r="N36" s="535"/>
      <c r="O36" s="535"/>
      <c r="P36" s="535"/>
      <c r="Q36" s="535"/>
      <c r="R36" s="535"/>
      <c r="S36" s="535"/>
      <c r="T36" s="535"/>
    </row>
    <row r="37" spans="1:20" x14ac:dyDescent="0.25">
      <c r="A37" s="535" t="s">
        <v>15</v>
      </c>
      <c r="B37" s="535" t="s">
        <v>16</v>
      </c>
      <c r="C37" s="535"/>
      <c r="D37" s="535"/>
      <c r="E37" s="535"/>
      <c r="F37" s="535"/>
      <c r="G37" s="535"/>
      <c r="H37" s="535"/>
      <c r="I37" s="535"/>
      <c r="J37" s="535"/>
      <c r="K37" s="535"/>
      <c r="L37" s="535"/>
      <c r="M37" s="535"/>
      <c r="N37" s="535"/>
      <c r="O37" s="535"/>
      <c r="P37" s="535"/>
      <c r="Q37" s="535"/>
      <c r="R37" s="535"/>
      <c r="S37" s="535"/>
      <c r="T37" s="535"/>
    </row>
    <row r="38" spans="1:20" x14ac:dyDescent="0.25">
      <c r="A38" s="535"/>
      <c r="B38" s="535"/>
      <c r="C38" s="535"/>
      <c r="D38" s="535"/>
      <c r="E38" s="535"/>
      <c r="F38" s="535"/>
      <c r="G38" s="535"/>
      <c r="H38" s="535"/>
      <c r="I38" s="535"/>
      <c r="J38" s="535"/>
      <c r="K38" s="535"/>
      <c r="L38" s="535"/>
      <c r="M38" s="535"/>
      <c r="N38" s="535"/>
      <c r="O38" s="535"/>
      <c r="P38" s="535"/>
      <c r="Q38" s="535"/>
      <c r="R38" s="535"/>
      <c r="S38" s="535"/>
      <c r="T38" s="535"/>
    </row>
    <row r="39" spans="1:20" x14ac:dyDescent="0.25">
      <c r="A39" s="535"/>
      <c r="B39" s="536" t="s">
        <v>2</v>
      </c>
      <c r="C39" s="536" t="s">
        <v>3</v>
      </c>
      <c r="D39" s="536"/>
      <c r="E39" s="536"/>
      <c r="F39" s="535"/>
      <c r="G39" s="535"/>
      <c r="H39" s="535"/>
      <c r="I39" s="535"/>
      <c r="J39" s="535"/>
      <c r="K39" s="535"/>
      <c r="L39" s="535"/>
      <c r="M39" s="535"/>
      <c r="N39" s="535"/>
      <c r="O39" s="535"/>
      <c r="P39" s="535"/>
      <c r="Q39" s="535"/>
      <c r="R39" s="535"/>
      <c r="S39" s="535"/>
      <c r="T39" s="535"/>
    </row>
    <row r="40" spans="1:20" x14ac:dyDescent="0.25">
      <c r="A40" s="535"/>
      <c r="B40" s="536"/>
      <c r="C40" s="536" t="s">
        <v>1571</v>
      </c>
      <c r="D40" s="536"/>
      <c r="E40" s="536"/>
      <c r="F40" s="535"/>
      <c r="G40" s="538" t="s">
        <v>179</v>
      </c>
      <c r="H40" s="538"/>
      <c r="I40" s="533">
        <v>1039.8800000000001</v>
      </c>
      <c r="J40" s="535"/>
      <c r="K40" s="535"/>
      <c r="L40" s="535"/>
      <c r="M40" s="535"/>
      <c r="N40" s="535"/>
      <c r="O40" s="535"/>
      <c r="P40" s="535"/>
      <c r="Q40" s="535"/>
      <c r="R40" s="535"/>
      <c r="S40" s="535"/>
      <c r="T40" s="535"/>
    </row>
    <row r="41" spans="1:20" x14ac:dyDescent="0.25">
      <c r="A41" s="535"/>
      <c r="B41" s="536" t="s">
        <v>5</v>
      </c>
      <c r="C41" s="536" t="s">
        <v>1566</v>
      </c>
      <c r="D41" s="536"/>
      <c r="E41" s="536"/>
      <c r="F41" s="535"/>
      <c r="G41" s="540" t="s">
        <v>1566</v>
      </c>
      <c r="H41" s="538"/>
      <c r="I41" s="539" t="s">
        <v>1685</v>
      </c>
      <c r="J41" s="535"/>
      <c r="K41" s="535"/>
      <c r="L41" s="535"/>
      <c r="M41" s="535"/>
      <c r="N41" s="535"/>
      <c r="O41" s="535"/>
      <c r="P41" s="535"/>
      <c r="Q41" s="535"/>
      <c r="R41" s="535"/>
      <c r="S41" s="535"/>
      <c r="T41" s="535"/>
    </row>
    <row r="42" spans="1:20" x14ac:dyDescent="0.25">
      <c r="A42" s="535"/>
      <c r="B42" s="536"/>
      <c r="C42" s="536" t="s">
        <v>1572</v>
      </c>
      <c r="D42" s="536"/>
      <c r="E42" s="536"/>
      <c r="F42" s="535"/>
      <c r="G42" s="540" t="s">
        <v>1568</v>
      </c>
      <c r="H42" s="538"/>
      <c r="I42" s="533">
        <v>1039.8800000000001</v>
      </c>
      <c r="J42" s="535"/>
      <c r="K42" s="535"/>
      <c r="L42" s="535"/>
      <c r="M42" s="535"/>
      <c r="N42" s="535"/>
      <c r="O42" s="535"/>
      <c r="P42" s="535"/>
      <c r="Q42" s="535"/>
      <c r="R42" s="535"/>
      <c r="S42" s="535"/>
      <c r="T42" s="535"/>
    </row>
    <row r="43" spans="1:20" x14ac:dyDescent="0.25">
      <c r="A43" s="535"/>
      <c r="B43" s="536"/>
      <c r="C43" s="536" t="s">
        <v>8</v>
      </c>
      <c r="D43" s="536"/>
      <c r="E43" s="536"/>
      <c r="F43" s="535"/>
      <c r="G43" s="540" t="s">
        <v>1569</v>
      </c>
      <c r="H43" s="538"/>
      <c r="I43" s="538"/>
      <c r="J43" s="535"/>
      <c r="K43" s="535"/>
      <c r="L43" s="535"/>
      <c r="M43" s="535"/>
      <c r="N43" s="535"/>
      <c r="O43" s="535"/>
      <c r="P43" s="535"/>
      <c r="Q43" s="535"/>
      <c r="R43" s="535"/>
      <c r="S43" s="535"/>
      <c r="T43" s="535"/>
    </row>
    <row r="44" spans="1:20" x14ac:dyDescent="0.25">
      <c r="A44" s="535"/>
      <c r="B44" s="536"/>
      <c r="C44" s="536" t="s">
        <v>1573</v>
      </c>
      <c r="D44" s="536"/>
      <c r="E44" s="536"/>
      <c r="F44" s="535"/>
      <c r="G44" s="538" t="s">
        <v>425</v>
      </c>
      <c r="H44" s="538"/>
      <c r="I44" s="533">
        <v>17.63</v>
      </c>
      <c r="J44" s="535"/>
      <c r="K44" s="535"/>
      <c r="L44" s="535"/>
      <c r="M44" s="535"/>
      <c r="N44" s="535"/>
      <c r="O44" s="535"/>
      <c r="P44" s="535"/>
      <c r="Q44" s="535"/>
      <c r="R44" s="535"/>
      <c r="S44" s="535"/>
      <c r="T44" s="535"/>
    </row>
    <row r="45" spans="1:20" x14ac:dyDescent="0.25">
      <c r="A45" s="535"/>
      <c r="B45" s="535"/>
      <c r="C45" s="535"/>
      <c r="D45" s="535"/>
      <c r="E45" s="535"/>
      <c r="F45" s="535"/>
      <c r="G45" s="535"/>
      <c r="H45" s="535"/>
      <c r="I45" s="535"/>
      <c r="J45" s="535"/>
      <c r="K45" s="535"/>
      <c r="L45" s="535"/>
      <c r="M45" s="535"/>
      <c r="N45" s="535"/>
      <c r="O45" s="535"/>
      <c r="P45" s="535"/>
      <c r="Q45" s="535"/>
      <c r="R45" s="535"/>
      <c r="S45" s="535"/>
      <c r="T45" s="535"/>
    </row>
    <row r="46" spans="1:20" x14ac:dyDescent="0.25">
      <c r="A46" s="535"/>
      <c r="B46" s="535"/>
      <c r="C46" s="535"/>
      <c r="D46" s="535"/>
      <c r="E46" s="535"/>
      <c r="F46" s="535"/>
      <c r="G46" s="535"/>
      <c r="H46" s="535"/>
      <c r="I46" s="535"/>
      <c r="J46" s="535"/>
      <c r="K46" s="535"/>
      <c r="L46" s="535"/>
      <c r="M46" s="535"/>
      <c r="N46" s="535"/>
      <c r="O46" s="535"/>
      <c r="P46" s="535"/>
      <c r="Q46" s="535"/>
      <c r="R46" s="535"/>
      <c r="S46" s="535"/>
      <c r="T46" s="535"/>
    </row>
    <row r="47" spans="1:20" x14ac:dyDescent="0.25">
      <c r="A47" s="535" t="s">
        <v>17</v>
      </c>
      <c r="B47" s="535" t="s">
        <v>18</v>
      </c>
      <c r="C47" s="535"/>
      <c r="D47" s="535"/>
      <c r="E47" s="535"/>
      <c r="F47" s="535"/>
      <c r="G47" s="535"/>
      <c r="H47" s="535"/>
      <c r="I47" s="535"/>
      <c r="J47" s="535"/>
      <c r="K47" s="535"/>
      <c r="L47" s="535"/>
      <c r="M47" s="535"/>
      <c r="N47" s="535"/>
      <c r="O47" s="535"/>
      <c r="P47" s="535"/>
      <c r="Q47" s="535"/>
      <c r="R47" s="535"/>
      <c r="S47" s="535"/>
      <c r="T47" s="535"/>
    </row>
    <row r="48" spans="1:20" x14ac:dyDescent="0.25">
      <c r="A48" s="535"/>
      <c r="B48" s="535"/>
      <c r="C48" s="535"/>
      <c r="D48" s="535"/>
      <c r="E48" s="535"/>
      <c r="F48" s="535"/>
      <c r="G48" s="535"/>
      <c r="H48" s="535"/>
      <c r="I48" s="535"/>
      <c r="J48" s="535"/>
      <c r="K48" s="535"/>
      <c r="L48" s="535"/>
      <c r="M48" s="535"/>
      <c r="N48" s="535"/>
      <c r="O48" s="535"/>
      <c r="P48" s="535"/>
      <c r="Q48" s="535"/>
      <c r="R48" s="535"/>
      <c r="S48" s="535"/>
      <c r="T48" s="535"/>
    </row>
    <row r="49" spans="1:20" x14ac:dyDescent="0.25">
      <c r="A49" s="535"/>
      <c r="B49" s="536" t="s">
        <v>2</v>
      </c>
      <c r="C49" s="536" t="s">
        <v>19</v>
      </c>
      <c r="D49" s="536"/>
      <c r="E49" s="536"/>
      <c r="F49" s="535"/>
      <c r="G49" s="535"/>
      <c r="H49" s="535"/>
      <c r="I49" s="535"/>
      <c r="J49" s="536"/>
      <c r="K49" s="536"/>
      <c r="L49" s="536"/>
      <c r="M49" s="536"/>
      <c r="N49" s="535"/>
      <c r="O49" s="535"/>
      <c r="P49" s="535"/>
      <c r="Q49" s="535"/>
      <c r="R49" s="535"/>
      <c r="S49" s="535"/>
      <c r="T49" s="535"/>
    </row>
    <row r="50" spans="1:20" x14ac:dyDescent="0.25">
      <c r="A50" s="535"/>
      <c r="B50" s="536"/>
      <c r="C50" s="536" t="s">
        <v>1574</v>
      </c>
      <c r="D50" s="536">
        <v>716.63</v>
      </c>
      <c r="E50" s="536"/>
      <c r="F50" s="535"/>
      <c r="G50" s="538" t="s">
        <v>179</v>
      </c>
      <c r="H50" s="538"/>
      <c r="I50" s="533">
        <v>716.63</v>
      </c>
      <c r="J50" s="536"/>
      <c r="K50" s="536"/>
      <c r="L50" s="536"/>
      <c r="M50" s="536"/>
      <c r="N50" s="535"/>
      <c r="O50" s="535"/>
      <c r="P50" s="535"/>
      <c r="Q50" s="535"/>
      <c r="R50" s="535"/>
      <c r="S50" s="535"/>
      <c r="T50" s="535"/>
    </row>
    <row r="51" spans="1:20" x14ac:dyDescent="0.25">
      <c r="A51" s="535"/>
      <c r="B51" s="536" t="s">
        <v>5</v>
      </c>
      <c r="C51" s="536" t="s">
        <v>1566</v>
      </c>
      <c r="D51" s="536"/>
      <c r="E51" s="536"/>
      <c r="F51" s="535"/>
      <c r="G51" s="540" t="s">
        <v>1566</v>
      </c>
      <c r="H51" s="538"/>
      <c r="I51" s="539" t="s">
        <v>1685</v>
      </c>
      <c r="J51" s="536"/>
      <c r="K51" s="536"/>
      <c r="L51" s="536"/>
      <c r="M51" s="536"/>
      <c r="N51" s="535"/>
      <c r="O51" s="535"/>
      <c r="P51" s="535"/>
      <c r="Q51" s="535"/>
      <c r="R51" s="535"/>
      <c r="S51" s="535"/>
      <c r="T51" s="535"/>
    </row>
    <row r="52" spans="1:20" x14ac:dyDescent="0.25">
      <c r="A52" s="535"/>
      <c r="B52" s="536"/>
      <c r="C52" s="536" t="s">
        <v>1575</v>
      </c>
      <c r="D52" s="536"/>
      <c r="E52" s="536"/>
      <c r="F52" s="535"/>
      <c r="G52" s="540" t="s">
        <v>1568</v>
      </c>
      <c r="H52" s="538"/>
      <c r="I52" s="533">
        <v>716.63</v>
      </c>
      <c r="J52" s="535"/>
      <c r="K52" s="535"/>
      <c r="L52" s="535"/>
      <c r="M52" s="535"/>
      <c r="N52" s="535"/>
      <c r="O52" s="535"/>
      <c r="P52" s="535"/>
      <c r="Q52" s="535"/>
      <c r="R52" s="535"/>
      <c r="S52" s="535"/>
      <c r="T52" s="535"/>
    </row>
    <row r="53" spans="1:20" x14ac:dyDescent="0.25">
      <c r="A53" s="535"/>
      <c r="B53" s="536"/>
      <c r="C53" s="536" t="s">
        <v>8</v>
      </c>
      <c r="D53" s="536"/>
      <c r="E53" s="536"/>
      <c r="F53" s="535"/>
      <c r="G53" s="540" t="s">
        <v>1569</v>
      </c>
      <c r="H53" s="538"/>
      <c r="I53" s="538"/>
      <c r="J53" s="535"/>
      <c r="K53" s="535"/>
      <c r="L53" s="535"/>
      <c r="M53" s="535"/>
      <c r="N53" s="535"/>
      <c r="O53" s="535"/>
      <c r="P53" s="535"/>
      <c r="Q53" s="535"/>
      <c r="R53" s="535"/>
      <c r="S53" s="535"/>
      <c r="T53" s="535"/>
    </row>
    <row r="54" spans="1:20" x14ac:dyDescent="0.25">
      <c r="A54" s="535"/>
      <c r="B54" s="536"/>
      <c r="C54" s="536" t="s">
        <v>1576</v>
      </c>
      <c r="D54" s="536">
        <v>12.15</v>
      </c>
      <c r="E54" s="536"/>
      <c r="F54" s="535"/>
      <c r="G54" s="538" t="s">
        <v>425</v>
      </c>
      <c r="H54" s="538"/>
      <c r="I54" s="533">
        <v>12.15</v>
      </c>
      <c r="J54" s="535"/>
      <c r="K54" s="535"/>
      <c r="L54" s="535"/>
      <c r="M54" s="535"/>
      <c r="N54" s="535"/>
      <c r="O54" s="535"/>
      <c r="P54" s="535"/>
      <c r="Q54" s="535"/>
      <c r="R54" s="535"/>
      <c r="S54" s="535"/>
      <c r="T54" s="535"/>
    </row>
    <row r="55" spans="1:20" x14ac:dyDescent="0.25">
      <c r="A55" s="535"/>
      <c r="B55" s="535"/>
      <c r="C55" s="535"/>
      <c r="D55" s="535"/>
      <c r="E55" s="535"/>
      <c r="F55" s="535"/>
      <c r="G55" s="535"/>
      <c r="H55" s="535"/>
      <c r="I55" s="535"/>
      <c r="J55" s="535"/>
      <c r="K55" s="535"/>
      <c r="L55" s="535"/>
      <c r="M55" s="535"/>
      <c r="N55" s="535"/>
      <c r="O55" s="535"/>
      <c r="P55" s="535"/>
      <c r="Q55" s="535"/>
      <c r="R55" s="535"/>
      <c r="S55" s="535"/>
      <c r="T55" s="535"/>
    </row>
    <row r="56" spans="1:20" x14ac:dyDescent="0.25">
      <c r="A56" s="535"/>
      <c r="B56" s="535"/>
      <c r="C56" s="535"/>
      <c r="D56" s="535"/>
      <c r="E56" s="535"/>
      <c r="F56" s="535"/>
      <c r="G56" s="535"/>
      <c r="H56" s="535"/>
      <c r="I56" s="535"/>
      <c r="J56" s="535"/>
      <c r="K56" s="535"/>
      <c r="L56" s="535"/>
      <c r="M56" s="535"/>
      <c r="N56" s="535"/>
      <c r="O56" s="535"/>
      <c r="P56" s="535"/>
      <c r="Q56" s="535"/>
      <c r="R56" s="535"/>
      <c r="S56" s="535"/>
      <c r="T56" s="535"/>
    </row>
    <row r="57" spans="1:20" x14ac:dyDescent="0.25">
      <c r="A57" s="535" t="s">
        <v>20</v>
      </c>
      <c r="B57" s="535" t="s">
        <v>21</v>
      </c>
      <c r="C57" s="535"/>
      <c r="D57" s="535"/>
      <c r="E57" s="535"/>
      <c r="F57" s="535"/>
      <c r="G57" s="535"/>
      <c r="H57" s="535"/>
      <c r="I57" s="535"/>
      <c r="J57" s="535"/>
      <c r="K57" s="535"/>
      <c r="L57" s="535"/>
      <c r="M57" s="535"/>
      <c r="N57" s="535"/>
      <c r="O57" s="535"/>
      <c r="P57" s="535"/>
      <c r="Q57" s="535"/>
      <c r="R57" s="535"/>
      <c r="S57" s="535"/>
      <c r="T57" s="535"/>
    </row>
    <row r="58" spans="1:20" x14ac:dyDescent="0.25">
      <c r="A58" s="535"/>
      <c r="B58" s="535"/>
      <c r="C58" s="535"/>
      <c r="D58" s="535"/>
      <c r="E58" s="535"/>
      <c r="F58" s="535"/>
      <c r="G58" s="535"/>
      <c r="H58" s="535"/>
      <c r="I58" s="535"/>
      <c r="J58" s="535"/>
      <c r="K58" s="535"/>
      <c r="L58" s="535"/>
      <c r="M58" s="535"/>
      <c r="N58" s="535"/>
      <c r="O58" s="535"/>
      <c r="P58" s="535"/>
      <c r="Q58" s="535"/>
      <c r="R58" s="535"/>
      <c r="S58" s="535"/>
      <c r="T58" s="535"/>
    </row>
    <row r="59" spans="1:20" x14ac:dyDescent="0.25">
      <c r="A59" s="535"/>
      <c r="B59" s="536" t="s">
        <v>2</v>
      </c>
      <c r="C59" s="536" t="s">
        <v>1577</v>
      </c>
      <c r="D59" s="536"/>
      <c r="E59" s="536"/>
      <c r="F59" s="535"/>
      <c r="G59" s="535"/>
      <c r="H59" s="535"/>
      <c r="I59" s="535"/>
      <c r="J59" s="535"/>
      <c r="K59" s="535"/>
      <c r="L59" s="535"/>
      <c r="M59" s="535"/>
      <c r="N59" s="535"/>
      <c r="O59" s="535" t="s">
        <v>141</v>
      </c>
      <c r="P59" s="535"/>
      <c r="Q59" s="541">
        <v>80000</v>
      </c>
      <c r="R59" s="535"/>
      <c r="S59" s="535" t="s">
        <v>1578</v>
      </c>
      <c r="T59" s="535"/>
    </row>
    <row r="60" spans="1:20" x14ac:dyDescent="0.25">
      <c r="A60" s="535"/>
      <c r="B60" s="536"/>
      <c r="C60" s="536" t="s">
        <v>1574</v>
      </c>
      <c r="D60" s="536"/>
      <c r="E60" s="536"/>
      <c r="F60" s="535"/>
      <c r="G60" s="538" t="s">
        <v>179</v>
      </c>
      <c r="H60" s="538"/>
      <c r="I60" s="533">
        <v>614.25</v>
      </c>
      <c r="J60" s="535"/>
      <c r="K60" s="535"/>
      <c r="L60" s="535"/>
      <c r="M60" s="538" t="s">
        <v>179</v>
      </c>
      <c r="N60" s="538"/>
      <c r="O60" s="533">
        <v>614.25</v>
      </c>
      <c r="P60" s="535"/>
      <c r="Q60" s="533">
        <v>693.25</v>
      </c>
      <c r="R60" s="535"/>
      <c r="S60" s="535"/>
      <c r="T60" s="534">
        <v>1.34</v>
      </c>
    </row>
    <row r="61" spans="1:20" x14ac:dyDescent="0.25">
      <c r="A61" s="535"/>
      <c r="B61" s="536" t="s">
        <v>5</v>
      </c>
      <c r="C61" s="536" t="s">
        <v>1566</v>
      </c>
      <c r="D61" s="536"/>
      <c r="E61" s="536"/>
      <c r="F61" s="535"/>
      <c r="G61" s="540" t="s">
        <v>1566</v>
      </c>
      <c r="H61" s="538"/>
      <c r="I61" s="539" t="s">
        <v>1685</v>
      </c>
      <c r="J61" s="535"/>
      <c r="K61" s="535"/>
      <c r="L61" s="535"/>
      <c r="M61" s="540" t="s">
        <v>1566</v>
      </c>
      <c r="N61" s="538"/>
      <c r="O61" s="539" t="s">
        <v>1686</v>
      </c>
      <c r="P61" s="535"/>
      <c r="Q61" s="539" t="s">
        <v>1687</v>
      </c>
      <c r="R61" s="535"/>
      <c r="S61" s="535"/>
      <c r="T61" s="535"/>
    </row>
    <row r="62" spans="1:20" x14ac:dyDescent="0.25">
      <c r="A62" s="535"/>
      <c r="B62" s="536"/>
      <c r="C62" s="536" t="s">
        <v>1575</v>
      </c>
      <c r="D62" s="536"/>
      <c r="E62" s="536"/>
      <c r="F62" s="535"/>
      <c r="G62" s="540" t="s">
        <v>1568</v>
      </c>
      <c r="H62" s="538"/>
      <c r="I62" s="533">
        <v>614.25</v>
      </c>
      <c r="J62" s="535"/>
      <c r="K62" s="535"/>
      <c r="L62" s="535"/>
      <c r="M62" s="540" t="s">
        <v>1568</v>
      </c>
      <c r="N62" s="538"/>
      <c r="O62" s="533">
        <v>614.25</v>
      </c>
      <c r="P62" s="535"/>
      <c r="Q62" s="533">
        <v>693.25</v>
      </c>
      <c r="R62" s="535"/>
      <c r="S62" s="535"/>
      <c r="T62" s="535"/>
    </row>
    <row r="63" spans="1:20" x14ac:dyDescent="0.25">
      <c r="A63" s="535"/>
      <c r="B63" s="536"/>
      <c r="C63" s="536" t="s">
        <v>8</v>
      </c>
      <c r="D63" s="536"/>
      <c r="E63" s="536"/>
      <c r="F63" s="535"/>
      <c r="G63" s="540" t="s">
        <v>1569</v>
      </c>
      <c r="H63" s="538"/>
      <c r="I63" s="538"/>
      <c r="J63" s="535"/>
      <c r="K63" s="535"/>
      <c r="L63" s="535"/>
      <c r="M63" s="540" t="s">
        <v>1569</v>
      </c>
      <c r="N63" s="538"/>
      <c r="O63" s="538"/>
      <c r="P63" s="535"/>
      <c r="Q63" s="538"/>
      <c r="R63" s="535"/>
      <c r="S63" s="535"/>
      <c r="T63" s="535"/>
    </row>
    <row r="64" spans="1:20" x14ac:dyDescent="0.25">
      <c r="A64" s="535"/>
      <c r="B64" s="536"/>
      <c r="C64" s="536" t="s">
        <v>1576</v>
      </c>
      <c r="D64" s="536"/>
      <c r="E64" s="536"/>
      <c r="F64" s="535"/>
      <c r="G64" s="538" t="s">
        <v>425</v>
      </c>
      <c r="H64" s="538"/>
      <c r="I64" s="533">
        <v>10.41</v>
      </c>
      <c r="J64" s="535"/>
      <c r="K64" s="535"/>
      <c r="L64" s="535"/>
      <c r="M64" s="538" t="s">
        <v>425</v>
      </c>
      <c r="N64" s="538"/>
      <c r="O64" s="533">
        <v>10.41</v>
      </c>
      <c r="P64" s="535"/>
      <c r="Q64" s="533">
        <v>11.75</v>
      </c>
      <c r="R64" s="535"/>
      <c r="S64" s="535"/>
      <c r="T64" s="535"/>
    </row>
    <row r="65" spans="1:20" x14ac:dyDescent="0.25">
      <c r="A65" s="535"/>
      <c r="B65" s="536"/>
      <c r="C65" s="536"/>
      <c r="D65" s="536"/>
      <c r="E65" s="536"/>
      <c r="F65" s="536"/>
      <c r="G65" s="536"/>
      <c r="H65" s="536"/>
      <c r="I65" s="536"/>
      <c r="J65" s="536"/>
      <c r="K65" s="536"/>
      <c r="L65" s="536"/>
      <c r="M65" s="536"/>
      <c r="N65" s="535"/>
      <c r="O65" s="535"/>
      <c r="P65" s="535"/>
      <c r="Q65" s="535"/>
      <c r="R65" s="535"/>
      <c r="S65" s="535"/>
      <c r="T65" s="535"/>
    </row>
    <row r="66" spans="1:20" x14ac:dyDescent="0.25">
      <c r="A66" s="535"/>
      <c r="B66" s="536"/>
      <c r="C66" s="536"/>
      <c r="D66" s="536"/>
      <c r="E66" s="536"/>
      <c r="F66" s="536"/>
      <c r="G66" s="536"/>
      <c r="H66" s="536"/>
      <c r="I66" s="536"/>
      <c r="J66" s="536"/>
      <c r="K66" s="536"/>
      <c r="L66" s="536"/>
      <c r="M66" s="536"/>
      <c r="N66" s="535"/>
      <c r="O66" s="535"/>
      <c r="P66" s="535"/>
      <c r="Q66" s="535"/>
      <c r="R66" s="535"/>
      <c r="S66" s="535"/>
      <c r="T66" s="535"/>
    </row>
    <row r="67" spans="1:20" x14ac:dyDescent="0.25">
      <c r="A67" s="535" t="s">
        <v>22</v>
      </c>
      <c r="B67" s="535" t="s">
        <v>23</v>
      </c>
      <c r="C67" s="535"/>
      <c r="D67" s="535"/>
      <c r="E67" s="535"/>
      <c r="F67" s="535"/>
      <c r="G67" s="535"/>
      <c r="H67" s="535"/>
      <c r="I67" s="535"/>
      <c r="J67" s="535"/>
      <c r="K67" s="535"/>
      <c r="L67" s="535"/>
      <c r="M67" s="535"/>
      <c r="N67" s="535"/>
      <c r="O67" s="535"/>
      <c r="P67" s="535"/>
      <c r="Q67" s="535"/>
      <c r="R67" s="535"/>
      <c r="S67" s="535"/>
      <c r="T67" s="535"/>
    </row>
    <row r="68" spans="1:20" ht="40.5" customHeight="1" x14ac:dyDescent="0.25">
      <c r="A68" s="535"/>
      <c r="B68" s="542" t="s">
        <v>24</v>
      </c>
      <c r="C68" s="542"/>
      <c r="D68" s="542"/>
      <c r="E68" s="542"/>
      <c r="F68" s="542"/>
      <c r="G68" s="542"/>
      <c r="H68" s="542"/>
      <c r="I68" s="542"/>
      <c r="J68" s="542"/>
      <c r="K68" s="542"/>
      <c r="L68" s="536"/>
      <c r="M68" s="536"/>
      <c r="N68" s="535"/>
      <c r="O68" s="535"/>
      <c r="P68" s="535"/>
      <c r="Q68" s="535"/>
      <c r="R68" s="535"/>
      <c r="S68" s="535"/>
      <c r="T68" s="535"/>
    </row>
    <row r="69" spans="1:20" x14ac:dyDescent="0.25">
      <c r="A69" s="535"/>
      <c r="B69" s="537"/>
      <c r="C69" s="537"/>
      <c r="D69" s="537"/>
      <c r="E69" s="537"/>
      <c r="F69" s="537"/>
      <c r="G69" s="537"/>
      <c r="H69" s="537"/>
      <c r="I69" s="537"/>
      <c r="J69" s="537"/>
      <c r="K69" s="537"/>
      <c r="L69" s="536"/>
      <c r="M69" s="536"/>
      <c r="N69" s="535"/>
      <c r="O69" s="535"/>
      <c r="P69" s="535"/>
      <c r="Q69" s="535"/>
      <c r="R69" s="535"/>
      <c r="S69" s="535"/>
      <c r="T69" s="535"/>
    </row>
    <row r="70" spans="1:20" x14ac:dyDescent="0.25">
      <c r="A70" s="535"/>
      <c r="B70" s="536" t="s">
        <v>2</v>
      </c>
      <c r="C70" s="536" t="s">
        <v>1579</v>
      </c>
      <c r="D70" s="536"/>
      <c r="E70" s="536"/>
      <c r="F70" s="535"/>
      <c r="G70" s="535"/>
      <c r="H70" s="535"/>
      <c r="I70" s="535"/>
      <c r="J70" s="535"/>
      <c r="K70" s="537"/>
      <c r="L70" s="536"/>
      <c r="M70" s="536"/>
      <c r="N70" s="535"/>
      <c r="O70" s="535"/>
      <c r="P70" s="535"/>
      <c r="Q70" s="535"/>
      <c r="R70" s="535"/>
      <c r="S70" s="535"/>
      <c r="T70" s="535"/>
    </row>
    <row r="71" spans="1:20" x14ac:dyDescent="0.25">
      <c r="A71" s="535"/>
      <c r="B71" s="536"/>
      <c r="C71" s="536" t="s">
        <v>1580</v>
      </c>
      <c r="D71" s="536"/>
      <c r="E71" s="536"/>
      <c r="F71" s="535"/>
      <c r="G71" s="538" t="s">
        <v>179</v>
      </c>
      <c r="H71" s="538"/>
      <c r="I71" s="533">
        <v>245.12</v>
      </c>
      <c r="J71" s="535"/>
      <c r="K71" s="535"/>
      <c r="L71" s="535"/>
      <c r="M71" s="535"/>
      <c r="N71" s="535"/>
      <c r="O71" s="535"/>
      <c r="P71" s="535"/>
      <c r="Q71" s="535"/>
      <c r="R71" s="535"/>
      <c r="S71" s="535"/>
      <c r="T71" s="535"/>
    </row>
    <row r="72" spans="1:20" x14ac:dyDescent="0.25">
      <c r="A72" s="535"/>
      <c r="B72" s="536" t="s">
        <v>5</v>
      </c>
      <c r="C72" s="536" t="s">
        <v>1566</v>
      </c>
      <c r="D72" s="536"/>
      <c r="E72" s="536"/>
      <c r="F72" s="535"/>
      <c r="G72" s="540" t="s">
        <v>1566</v>
      </c>
      <c r="H72" s="538"/>
      <c r="I72" s="539" t="s">
        <v>1685</v>
      </c>
      <c r="J72" s="535"/>
      <c r="K72" s="535"/>
      <c r="L72" s="535"/>
      <c r="M72" s="535"/>
      <c r="N72" s="535"/>
      <c r="O72" s="535"/>
      <c r="P72" s="535"/>
      <c r="Q72" s="535"/>
      <c r="R72" s="535"/>
      <c r="S72" s="535"/>
      <c r="T72" s="535"/>
    </row>
    <row r="73" spans="1:20" x14ac:dyDescent="0.25">
      <c r="A73" s="535"/>
      <c r="B73" s="536"/>
      <c r="C73" s="536" t="s">
        <v>1581</v>
      </c>
      <c r="D73" s="536"/>
      <c r="E73" s="536"/>
      <c r="F73" s="535"/>
      <c r="G73" s="540" t="s">
        <v>1568</v>
      </c>
      <c r="H73" s="538"/>
      <c r="I73" s="533">
        <v>245.12</v>
      </c>
      <c r="J73" s="535"/>
      <c r="K73" s="535"/>
      <c r="L73" s="535"/>
      <c r="M73" s="535"/>
      <c r="N73" s="535"/>
      <c r="O73" s="535"/>
      <c r="P73" s="535"/>
      <c r="Q73" s="535"/>
      <c r="R73" s="535"/>
      <c r="S73" s="535"/>
      <c r="T73" s="535"/>
    </row>
    <row r="74" spans="1:20" x14ac:dyDescent="0.25">
      <c r="A74" s="535"/>
      <c r="B74" s="536"/>
      <c r="C74" s="536" t="s">
        <v>8</v>
      </c>
      <c r="D74" s="536"/>
      <c r="E74" s="536"/>
      <c r="F74" s="535"/>
      <c r="G74" s="540" t="s">
        <v>1569</v>
      </c>
      <c r="H74" s="538"/>
      <c r="I74" s="538"/>
      <c r="J74" s="535"/>
      <c r="K74" s="535"/>
      <c r="L74" s="535"/>
      <c r="M74" s="535"/>
      <c r="N74" s="535"/>
      <c r="O74" s="535"/>
      <c r="P74" s="535"/>
      <c r="Q74" s="535"/>
      <c r="R74" s="535"/>
      <c r="S74" s="535"/>
      <c r="T74" s="535"/>
    </row>
    <row r="75" spans="1:20" x14ac:dyDescent="0.25">
      <c r="A75" s="535"/>
      <c r="B75" s="536"/>
      <c r="C75" s="536" t="s">
        <v>1582</v>
      </c>
      <c r="D75" s="536"/>
      <c r="E75" s="536"/>
      <c r="F75" s="535"/>
      <c r="G75" s="538" t="s">
        <v>425</v>
      </c>
      <c r="H75" s="538"/>
      <c r="I75" s="533">
        <v>4.1500000000000004</v>
      </c>
      <c r="J75" s="535"/>
      <c r="K75" s="535"/>
      <c r="L75" s="535"/>
      <c r="M75" s="535"/>
      <c r="N75" s="535"/>
      <c r="O75" s="535"/>
      <c r="P75" s="535"/>
      <c r="Q75" s="535"/>
      <c r="R75" s="535"/>
      <c r="S75" s="535"/>
      <c r="T75" s="535"/>
    </row>
    <row r="76" spans="1:20" x14ac:dyDescent="0.25">
      <c r="A76" s="535"/>
      <c r="B76" s="535"/>
      <c r="C76" s="535"/>
      <c r="D76" s="535"/>
      <c r="E76" s="535"/>
      <c r="F76" s="535"/>
      <c r="G76" s="535"/>
      <c r="H76" s="535"/>
      <c r="I76" s="535"/>
      <c r="J76" s="535"/>
      <c r="K76" s="535"/>
      <c r="L76" s="535"/>
      <c r="M76" s="535"/>
      <c r="N76" s="535"/>
      <c r="O76" s="535"/>
      <c r="P76" s="535"/>
      <c r="Q76" s="535"/>
      <c r="R76" s="535"/>
      <c r="S76" s="535"/>
      <c r="T76" s="535"/>
    </row>
    <row r="77" spans="1:20" x14ac:dyDescent="0.25">
      <c r="A77" s="535"/>
      <c r="B77" s="535"/>
      <c r="C77" s="535"/>
      <c r="D77" s="535"/>
      <c r="E77" s="535"/>
      <c r="F77" s="535"/>
      <c r="G77" s="535"/>
      <c r="H77" s="535"/>
      <c r="I77" s="535"/>
      <c r="J77" s="535"/>
      <c r="K77" s="535"/>
      <c r="L77" s="535"/>
      <c r="M77" s="535"/>
      <c r="N77" s="535"/>
      <c r="O77" s="535"/>
      <c r="P77" s="535"/>
      <c r="Q77" s="535"/>
      <c r="R77" s="535"/>
      <c r="S77" s="535"/>
      <c r="T77" s="535"/>
    </row>
    <row r="78" spans="1:20" x14ac:dyDescent="0.25">
      <c r="A78" s="535"/>
      <c r="B78" s="536"/>
      <c r="C78" s="536"/>
      <c r="D78" s="536"/>
      <c r="E78" s="536"/>
      <c r="F78" s="536"/>
      <c r="G78" s="536"/>
      <c r="H78" s="536"/>
      <c r="I78" s="536"/>
      <c r="J78" s="536"/>
      <c r="K78" s="536"/>
      <c r="L78" s="536"/>
      <c r="M78" s="536"/>
      <c r="N78" s="535"/>
      <c r="O78" s="535"/>
      <c r="P78" s="535"/>
      <c r="Q78" s="535"/>
      <c r="R78" s="535"/>
      <c r="S78" s="535"/>
      <c r="T78" s="535"/>
    </row>
    <row r="79" spans="1:20" x14ac:dyDescent="0.25">
      <c r="A79" s="535"/>
      <c r="B79" s="536"/>
      <c r="C79" s="536"/>
      <c r="D79" s="536"/>
      <c r="E79" s="536"/>
      <c r="F79" s="536"/>
      <c r="G79" s="536"/>
      <c r="H79" s="536"/>
      <c r="I79" s="536"/>
      <c r="J79" s="536"/>
      <c r="K79" s="536"/>
      <c r="L79" s="536"/>
      <c r="M79" s="536"/>
      <c r="N79" s="535"/>
      <c r="O79" s="535"/>
      <c r="P79" s="535"/>
      <c r="Q79" s="535"/>
      <c r="R79" s="535"/>
      <c r="S79" s="535"/>
      <c r="T79" s="535"/>
    </row>
    <row r="80" spans="1:20" x14ac:dyDescent="0.25">
      <c r="A80" s="535"/>
      <c r="B80" s="536"/>
      <c r="C80" s="536"/>
      <c r="D80" s="536"/>
      <c r="E80" s="536"/>
      <c r="F80" s="536"/>
      <c r="G80" s="536"/>
      <c r="H80" s="536"/>
      <c r="I80" s="536"/>
      <c r="J80" s="536"/>
      <c r="K80" s="536"/>
      <c r="L80" s="536"/>
      <c r="M80" s="536"/>
      <c r="N80" s="535"/>
      <c r="O80" s="535"/>
      <c r="P80" s="535"/>
      <c r="Q80" s="535"/>
      <c r="R80" s="535"/>
      <c r="S80" s="535"/>
      <c r="T80" s="535"/>
    </row>
  </sheetData>
  <mergeCells count="2">
    <mergeCell ref="A1:I1"/>
    <mergeCell ref="A3:K6"/>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78456-1034-4CEA-B8AA-23375E638714}">
  <dimension ref="A1:M92"/>
  <sheetViews>
    <sheetView workbookViewId="0">
      <selection sqref="A1:XFD1048576"/>
    </sheetView>
  </sheetViews>
  <sheetFormatPr defaultRowHeight="15" x14ac:dyDescent="0.25"/>
  <cols>
    <col min="1" max="16384" width="9.140625" style="84"/>
  </cols>
  <sheetData>
    <row r="1" spans="1:13" ht="21" x14ac:dyDescent="0.35">
      <c r="A1" s="457" t="s">
        <v>1583</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9" x14ac:dyDescent="0.25">
      <c r="A17" s="84" t="s">
        <v>10</v>
      </c>
      <c r="B17" s="84" t="s">
        <v>11</v>
      </c>
    </row>
    <row r="19" spans="1:9" x14ac:dyDescent="0.25">
      <c r="B19" t="s">
        <v>702</v>
      </c>
      <c r="C19"/>
      <c r="D19"/>
      <c r="E19"/>
      <c r="F19"/>
      <c r="G19"/>
      <c r="H19"/>
      <c r="I19" s="406">
        <v>840</v>
      </c>
    </row>
    <row r="20" spans="1:9" x14ac:dyDescent="0.25">
      <c r="B20" t="s">
        <v>703</v>
      </c>
      <c r="C20"/>
      <c r="D20"/>
      <c r="E20"/>
      <c r="F20"/>
      <c r="G20"/>
      <c r="H20"/>
      <c r="I20" s="407">
        <v>1.695E-2</v>
      </c>
    </row>
    <row r="21" spans="1:9" ht="15.75" thickBot="1" x14ac:dyDescent="0.3">
      <c r="B21" s="49" t="s">
        <v>704</v>
      </c>
      <c r="C21" s="408"/>
      <c r="D21" s="408"/>
      <c r="E21" s="408"/>
      <c r="F21" s="408"/>
      <c r="G21" s="408"/>
      <c r="H21" s="408"/>
      <c r="I21" s="409">
        <f>I19*I20</f>
        <v>14.238</v>
      </c>
    </row>
    <row r="22" spans="1:9" ht="15.75" thickTop="1" x14ac:dyDescent="0.25">
      <c r="B22" s="50" t="s">
        <v>705</v>
      </c>
      <c r="C22"/>
      <c r="D22"/>
      <c r="E22"/>
      <c r="F22"/>
      <c r="G22"/>
      <c r="H22"/>
      <c r="I22" s="410">
        <f>ROUND(I21,2)</f>
        <v>14.24</v>
      </c>
    </row>
    <row r="25" spans="1:9" x14ac:dyDescent="0.25">
      <c r="A25" s="84" t="s">
        <v>12</v>
      </c>
      <c r="B25" s="84" t="s">
        <v>13</v>
      </c>
    </row>
    <row r="27" spans="1:9" x14ac:dyDescent="0.25">
      <c r="B27" t="s">
        <v>702</v>
      </c>
      <c r="C27"/>
      <c r="D27"/>
      <c r="E27"/>
      <c r="F27"/>
      <c r="G27"/>
      <c r="H27"/>
      <c r="I27" s="406">
        <v>840</v>
      </c>
    </row>
    <row r="28" spans="1:9" x14ac:dyDescent="0.25">
      <c r="B28" t="s">
        <v>703</v>
      </c>
      <c r="C28"/>
      <c r="D28"/>
      <c r="E28"/>
      <c r="F28"/>
      <c r="G28"/>
      <c r="H28"/>
      <c r="I28" s="407">
        <v>1.695E-2</v>
      </c>
    </row>
    <row r="29" spans="1:9" ht="15.75" thickBot="1" x14ac:dyDescent="0.3">
      <c r="B29" s="49" t="s">
        <v>704</v>
      </c>
      <c r="C29" s="408"/>
      <c r="D29" s="408"/>
      <c r="E29" s="408"/>
      <c r="F29" s="408"/>
      <c r="G29" s="408"/>
      <c r="H29" s="408"/>
      <c r="I29" s="409">
        <f>I27*I28</f>
        <v>14.238</v>
      </c>
    </row>
    <row r="30" spans="1:9" ht="15.75" thickTop="1" x14ac:dyDescent="0.25">
      <c r="B30" s="50" t="s">
        <v>705</v>
      </c>
      <c r="C30"/>
      <c r="D30"/>
      <c r="E30"/>
      <c r="F30"/>
      <c r="G30"/>
      <c r="H30"/>
      <c r="I30" s="410">
        <f>ROUND(I29,2)</f>
        <v>14.24</v>
      </c>
    </row>
    <row r="33" spans="1:9" x14ac:dyDescent="0.25">
      <c r="A33" s="84" t="s">
        <v>15</v>
      </c>
      <c r="B33" s="84" t="s">
        <v>16</v>
      </c>
    </row>
    <row r="35" spans="1:9" x14ac:dyDescent="0.25">
      <c r="B35" s="411" t="s">
        <v>706</v>
      </c>
      <c r="C35"/>
      <c r="D35"/>
      <c r="E35"/>
      <c r="F35"/>
      <c r="G35"/>
      <c r="H35"/>
      <c r="I35"/>
    </row>
    <row r="36" spans="1:9" x14ac:dyDescent="0.25">
      <c r="B36" t="s">
        <v>707</v>
      </c>
      <c r="C36"/>
      <c r="D36"/>
      <c r="E36"/>
      <c r="F36"/>
      <c r="G36"/>
      <c r="H36"/>
      <c r="I36" s="406">
        <v>630</v>
      </c>
    </row>
    <row r="37" spans="1:9" x14ac:dyDescent="0.25">
      <c r="B37" t="s">
        <v>703</v>
      </c>
      <c r="C37"/>
      <c r="D37"/>
      <c r="E37"/>
      <c r="F37"/>
      <c r="G37"/>
      <c r="H37"/>
      <c r="I37" s="407">
        <v>1.695E-2</v>
      </c>
    </row>
    <row r="38" spans="1:9" x14ac:dyDescent="0.25">
      <c r="B38" s="48" t="s">
        <v>704</v>
      </c>
      <c r="C38"/>
      <c r="D38"/>
      <c r="E38"/>
      <c r="F38"/>
      <c r="G38"/>
      <c r="H38"/>
      <c r="I38" s="406">
        <f>I36*I37</f>
        <v>10.6785</v>
      </c>
    </row>
    <row r="39" spans="1:9" x14ac:dyDescent="0.25">
      <c r="B39" s="48" t="s">
        <v>708</v>
      </c>
      <c r="C39"/>
      <c r="D39"/>
      <c r="E39"/>
      <c r="F39"/>
      <c r="G39"/>
      <c r="H39"/>
      <c r="I39" s="412">
        <f>ROUND(I38,2)</f>
        <v>10.68</v>
      </c>
    </row>
    <row r="40" spans="1:9" x14ac:dyDescent="0.25">
      <c r="B40"/>
      <c r="C40"/>
      <c r="D40"/>
      <c r="E40"/>
      <c r="F40"/>
      <c r="G40"/>
      <c r="H40"/>
      <c r="I40"/>
    </row>
    <row r="41" spans="1:9" x14ac:dyDescent="0.25">
      <c r="B41" s="411" t="s">
        <v>709</v>
      </c>
      <c r="C41"/>
      <c r="D41"/>
      <c r="E41"/>
      <c r="F41"/>
      <c r="G41"/>
      <c r="H41"/>
      <c r="I41"/>
    </row>
    <row r="42" spans="1:9" x14ac:dyDescent="0.25">
      <c r="B42" t="s">
        <v>707</v>
      </c>
      <c r="C42"/>
      <c r="D42"/>
      <c r="E42"/>
      <c r="F42"/>
      <c r="G42"/>
      <c r="H42"/>
      <c r="I42" s="406">
        <v>630</v>
      </c>
    </row>
    <row r="43" spans="1:9" x14ac:dyDescent="0.25">
      <c r="B43" t="s">
        <v>703</v>
      </c>
      <c r="C43"/>
      <c r="D43"/>
      <c r="E43"/>
      <c r="F43"/>
      <c r="G43"/>
      <c r="H43"/>
      <c r="I43" s="407">
        <v>1.695E-2</v>
      </c>
    </row>
    <row r="44" spans="1:9" x14ac:dyDescent="0.25">
      <c r="B44" s="48" t="s">
        <v>704</v>
      </c>
      <c r="C44"/>
      <c r="D44"/>
      <c r="E44"/>
      <c r="F44"/>
      <c r="G44"/>
      <c r="H44"/>
      <c r="I44" s="406">
        <f>I42*I43</f>
        <v>10.6785</v>
      </c>
    </row>
    <row r="45" spans="1:9" x14ac:dyDescent="0.25">
      <c r="B45" s="48" t="s">
        <v>710</v>
      </c>
      <c r="C45"/>
      <c r="D45"/>
      <c r="E45"/>
      <c r="F45"/>
      <c r="G45"/>
      <c r="H45"/>
      <c r="I45" s="412">
        <f>ROUND(I44,2)</f>
        <v>10.68</v>
      </c>
    </row>
    <row r="46" spans="1:9" x14ac:dyDescent="0.25">
      <c r="B46"/>
      <c r="C46"/>
      <c r="D46"/>
      <c r="E46"/>
      <c r="F46"/>
      <c r="G46"/>
      <c r="H46"/>
      <c r="I46"/>
    </row>
    <row r="47" spans="1:9" x14ac:dyDescent="0.25">
      <c r="B47" s="48" t="s">
        <v>708</v>
      </c>
      <c r="C47"/>
      <c r="D47"/>
      <c r="E47"/>
      <c r="F47"/>
      <c r="G47"/>
      <c r="H47"/>
      <c r="I47" s="412">
        <v>10.68</v>
      </c>
    </row>
    <row r="48" spans="1:9" ht="15.75" thickBot="1" x14ac:dyDescent="0.3">
      <c r="B48" s="49" t="s">
        <v>710</v>
      </c>
      <c r="C48" s="408"/>
      <c r="D48" s="408"/>
      <c r="E48" s="408"/>
      <c r="F48" s="408"/>
      <c r="G48" s="408"/>
      <c r="H48" s="408"/>
      <c r="I48" s="409">
        <v>10.68</v>
      </c>
    </row>
    <row r="49" spans="1:13" ht="15.75" thickTop="1" x14ac:dyDescent="0.25">
      <c r="B49" s="50" t="s">
        <v>705</v>
      </c>
      <c r="C49"/>
      <c r="D49"/>
      <c r="E49"/>
      <c r="F49"/>
      <c r="G49"/>
      <c r="H49"/>
      <c r="I49" s="410">
        <f>ROUND(I47-I48,2)</f>
        <v>0</v>
      </c>
    </row>
    <row r="52" spans="1:13" x14ac:dyDescent="0.25">
      <c r="A52" s="84" t="s">
        <v>17</v>
      </c>
      <c r="B52" s="84" t="s">
        <v>18</v>
      </c>
    </row>
    <row r="54" spans="1:13" x14ac:dyDescent="0.25">
      <c r="B54" t="s">
        <v>711</v>
      </c>
      <c r="C54"/>
      <c r="D54"/>
      <c r="E54"/>
      <c r="F54"/>
      <c r="G54"/>
      <c r="H54"/>
      <c r="I54" s="406">
        <v>490</v>
      </c>
      <c r="J54" s="86"/>
      <c r="K54" s="86"/>
      <c r="L54" s="86"/>
      <c r="M54" s="86"/>
    </row>
    <row r="55" spans="1:13" x14ac:dyDescent="0.25">
      <c r="B55" t="s">
        <v>703</v>
      </c>
      <c r="C55"/>
      <c r="D55"/>
      <c r="E55"/>
      <c r="F55"/>
      <c r="G55"/>
      <c r="H55"/>
      <c r="I55" s="407">
        <v>1.695E-2</v>
      </c>
      <c r="J55" s="86"/>
      <c r="K55" s="86"/>
      <c r="L55" s="86"/>
      <c r="M55" s="86"/>
    </row>
    <row r="56" spans="1:13" ht="15.75" thickBot="1" x14ac:dyDescent="0.3">
      <c r="B56" s="49" t="s">
        <v>704</v>
      </c>
      <c r="C56" s="408"/>
      <c r="D56" s="408"/>
      <c r="E56" s="408"/>
      <c r="F56" s="408"/>
      <c r="G56" s="408"/>
      <c r="H56" s="408"/>
      <c r="I56" s="409">
        <f>I54*I55</f>
        <v>8.3055000000000003</v>
      </c>
      <c r="J56" s="86"/>
      <c r="K56" s="86"/>
      <c r="L56" s="86"/>
      <c r="M56" s="86"/>
    </row>
    <row r="57" spans="1:13" ht="15.75" thickTop="1" x14ac:dyDescent="0.25">
      <c r="B57" s="50" t="s">
        <v>705</v>
      </c>
      <c r="C57"/>
      <c r="D57"/>
      <c r="E57"/>
      <c r="F57"/>
      <c r="G57"/>
      <c r="H57"/>
      <c r="I57" s="410">
        <f>ROUND(I56,2)</f>
        <v>8.31</v>
      </c>
    </row>
    <row r="60" spans="1:13" x14ac:dyDescent="0.25">
      <c r="A60" s="84" t="s">
        <v>20</v>
      </c>
      <c r="B60" s="84" t="s">
        <v>21</v>
      </c>
    </row>
    <row r="62" spans="1:13" x14ac:dyDescent="0.25">
      <c r="B62" s="413" t="s">
        <v>712</v>
      </c>
      <c r="C62" s="240"/>
      <c r="D62"/>
      <c r="E62"/>
      <c r="F62"/>
      <c r="G62"/>
      <c r="H62"/>
      <c r="I62"/>
    </row>
    <row r="63" spans="1:13" x14ac:dyDescent="0.25">
      <c r="B63" t="s">
        <v>713</v>
      </c>
      <c r="C63"/>
      <c r="D63"/>
      <c r="E63"/>
      <c r="F63"/>
      <c r="G63"/>
      <c r="H63"/>
      <c r="I63" s="406">
        <v>420</v>
      </c>
    </row>
    <row r="64" spans="1:13" x14ac:dyDescent="0.25">
      <c r="B64" t="s">
        <v>703</v>
      </c>
      <c r="C64"/>
      <c r="D64"/>
      <c r="E64"/>
      <c r="F64"/>
      <c r="G64"/>
      <c r="H64"/>
      <c r="I64" s="407">
        <v>1.695E-2</v>
      </c>
    </row>
    <row r="65" spans="1:13" x14ac:dyDescent="0.25">
      <c r="B65" s="48" t="s">
        <v>704</v>
      </c>
      <c r="C65"/>
      <c r="D65"/>
      <c r="E65"/>
      <c r="F65"/>
      <c r="G65"/>
      <c r="H65"/>
      <c r="I65" s="406">
        <f>I63*I64</f>
        <v>7.1189999999999998</v>
      </c>
    </row>
    <row r="66" spans="1:13" x14ac:dyDescent="0.25">
      <c r="B66" s="48" t="s">
        <v>708</v>
      </c>
      <c r="C66"/>
      <c r="D66"/>
      <c r="E66"/>
      <c r="F66"/>
      <c r="G66"/>
      <c r="H66"/>
      <c r="I66" s="412">
        <f>ROUND(I65,2)</f>
        <v>7.12</v>
      </c>
    </row>
    <row r="67" spans="1:13" x14ac:dyDescent="0.25">
      <c r="B67"/>
      <c r="C67"/>
      <c r="D67"/>
      <c r="E67"/>
      <c r="F67"/>
      <c r="G67"/>
      <c r="H67"/>
      <c r="I67"/>
    </row>
    <row r="68" spans="1:13" x14ac:dyDescent="0.25">
      <c r="B68" s="413" t="s">
        <v>714</v>
      </c>
      <c r="C68" s="240"/>
      <c r="D68"/>
      <c r="E68"/>
      <c r="F68"/>
      <c r="G68"/>
      <c r="H68"/>
      <c r="I68"/>
    </row>
    <row r="69" spans="1:13" x14ac:dyDescent="0.25">
      <c r="B69" t="s">
        <v>715</v>
      </c>
      <c r="C69"/>
      <c r="D69"/>
      <c r="E69"/>
      <c r="F69"/>
      <c r="G69"/>
      <c r="H69"/>
      <c r="I69" s="406">
        <v>420</v>
      </c>
    </row>
    <row r="70" spans="1:13" x14ac:dyDescent="0.25">
      <c r="B70" t="s">
        <v>703</v>
      </c>
      <c r="C70"/>
      <c r="D70"/>
      <c r="E70"/>
      <c r="F70"/>
      <c r="G70"/>
      <c r="H70"/>
      <c r="I70" s="407">
        <v>1.695E-2</v>
      </c>
    </row>
    <row r="71" spans="1:13" x14ac:dyDescent="0.25">
      <c r="B71" s="48" t="s">
        <v>704</v>
      </c>
      <c r="C71"/>
      <c r="D71"/>
      <c r="E71"/>
      <c r="F71"/>
      <c r="G71"/>
      <c r="H71"/>
      <c r="I71" s="406">
        <f>I69*I70</f>
        <v>7.1189999999999998</v>
      </c>
    </row>
    <row r="72" spans="1:13" x14ac:dyDescent="0.25">
      <c r="B72" s="48" t="s">
        <v>710</v>
      </c>
      <c r="C72"/>
      <c r="D72"/>
      <c r="E72"/>
      <c r="F72"/>
      <c r="G72"/>
      <c r="H72"/>
      <c r="I72" s="412">
        <f>ROUND(I71,2)</f>
        <v>7.12</v>
      </c>
    </row>
    <row r="73" spans="1:13" x14ac:dyDescent="0.25">
      <c r="B73"/>
      <c r="C73"/>
      <c r="D73"/>
      <c r="E73"/>
      <c r="F73"/>
      <c r="G73"/>
      <c r="H73"/>
      <c r="I73"/>
    </row>
    <row r="74" spans="1:13" x14ac:dyDescent="0.25">
      <c r="B74" s="48" t="s">
        <v>708</v>
      </c>
      <c r="C74"/>
      <c r="D74"/>
      <c r="E74"/>
      <c r="F74"/>
      <c r="G74"/>
      <c r="H74"/>
      <c r="I74" s="412">
        <f>SUM(I66)</f>
        <v>7.12</v>
      </c>
    </row>
    <row r="75" spans="1:13" ht="15.75" thickBot="1" x14ac:dyDescent="0.3">
      <c r="B75" s="49" t="s">
        <v>710</v>
      </c>
      <c r="C75" s="408"/>
      <c r="D75" s="408"/>
      <c r="E75" s="408"/>
      <c r="F75" s="408"/>
      <c r="G75" s="408"/>
      <c r="H75" s="408"/>
      <c r="I75" s="414">
        <f>SUM(I72)</f>
        <v>7.12</v>
      </c>
    </row>
    <row r="76" spans="1:13" ht="15.75" thickTop="1" x14ac:dyDescent="0.25">
      <c r="B76" s="50" t="s">
        <v>705</v>
      </c>
      <c r="C76"/>
      <c r="D76"/>
      <c r="E76"/>
      <c r="F76"/>
      <c r="G76"/>
      <c r="H76"/>
      <c r="I76" s="410">
        <f>ROUND(I74-I75,2)</f>
        <v>0</v>
      </c>
    </row>
    <row r="78" spans="1:13" x14ac:dyDescent="0.25">
      <c r="B78" s="86"/>
      <c r="C78" s="86"/>
      <c r="D78" s="86"/>
      <c r="E78" s="86"/>
      <c r="F78" s="86"/>
      <c r="G78" s="86"/>
      <c r="H78" s="86"/>
      <c r="I78" s="86"/>
      <c r="J78" s="86"/>
      <c r="K78" s="86"/>
      <c r="L78" s="86"/>
      <c r="M78" s="86"/>
    </row>
    <row r="79" spans="1:13" x14ac:dyDescent="0.25">
      <c r="A79" s="84" t="s">
        <v>22</v>
      </c>
      <c r="B79" s="84" t="s">
        <v>23</v>
      </c>
    </row>
    <row r="80" spans="1:13" ht="40.5" customHeight="1" x14ac:dyDescent="0.25">
      <c r="B80" s="459" t="s">
        <v>24</v>
      </c>
      <c r="C80" s="459"/>
      <c r="D80" s="459"/>
      <c r="E80" s="459"/>
      <c r="F80" s="459"/>
      <c r="G80" s="459"/>
      <c r="H80" s="459"/>
      <c r="I80" s="459"/>
      <c r="J80" s="459"/>
      <c r="K80" s="459"/>
      <c r="L80" s="86"/>
      <c r="M80" s="86"/>
    </row>
    <row r="81" spans="2:13" x14ac:dyDescent="0.25">
      <c r="B81" s="88"/>
      <c r="C81" s="88"/>
      <c r="D81" s="88"/>
      <c r="E81" s="88"/>
      <c r="F81" s="88"/>
      <c r="G81" s="88"/>
      <c r="H81" s="88"/>
      <c r="I81" s="88"/>
      <c r="J81" s="88"/>
      <c r="K81" s="88"/>
      <c r="L81" s="86"/>
      <c r="M81" s="86"/>
    </row>
    <row r="82" spans="2:13" x14ac:dyDescent="0.25">
      <c r="B82" s="248" t="s">
        <v>716</v>
      </c>
      <c r="C82" s="248"/>
      <c r="D82" s="248"/>
      <c r="E82" s="248"/>
      <c r="F82" s="248"/>
      <c r="G82" s="4"/>
      <c r="H82"/>
      <c r="I82"/>
      <c r="J82" s="88"/>
      <c r="K82" s="88"/>
      <c r="L82" s="86"/>
      <c r="M82" s="86"/>
    </row>
    <row r="83" spans="2:13" x14ac:dyDescent="0.25">
      <c r="B83" s="76"/>
      <c r="C83" s="248"/>
      <c r="D83" s="248"/>
      <c r="E83" s="248"/>
      <c r="F83" s="248"/>
      <c r="G83"/>
      <c r="H83"/>
      <c r="I83"/>
    </row>
    <row r="84" spans="2:13" x14ac:dyDescent="0.25">
      <c r="B84" t="s">
        <v>717</v>
      </c>
      <c r="C84"/>
      <c r="D84"/>
      <c r="E84"/>
      <c r="F84"/>
      <c r="G84"/>
      <c r="H84"/>
      <c r="I84" s="406">
        <v>340</v>
      </c>
    </row>
    <row r="85" spans="2:13" x14ac:dyDescent="0.25">
      <c r="B85" t="s">
        <v>718</v>
      </c>
      <c r="C85"/>
      <c r="D85"/>
      <c r="E85"/>
      <c r="F85"/>
      <c r="G85"/>
      <c r="H85"/>
      <c r="I85" s="407">
        <v>1.695E-2</v>
      </c>
    </row>
    <row r="86" spans="2:13" x14ac:dyDescent="0.25">
      <c r="B86" s="48" t="s">
        <v>704</v>
      </c>
      <c r="C86"/>
      <c r="D86"/>
      <c r="E86"/>
      <c r="F86"/>
      <c r="G86"/>
      <c r="H86"/>
      <c r="I86" s="415">
        <f>I85*I84</f>
        <v>5.7629999999999999</v>
      </c>
    </row>
    <row r="87" spans="2:13" ht="15.75" thickBot="1" x14ac:dyDescent="0.3">
      <c r="B87" s="49" t="s">
        <v>719</v>
      </c>
      <c r="C87" s="408"/>
      <c r="D87" s="408"/>
      <c r="E87" s="408"/>
      <c r="F87" s="408"/>
      <c r="G87" s="408"/>
      <c r="H87" s="408"/>
      <c r="I87" s="416">
        <f>SUM(I86*0.11)</f>
        <v>0.63392999999999999</v>
      </c>
    </row>
    <row r="88" spans="2:13" ht="15.75" thickTop="1" x14ac:dyDescent="0.25">
      <c r="B88" s="50" t="s">
        <v>705</v>
      </c>
      <c r="C88"/>
      <c r="D88"/>
      <c r="E88"/>
      <c r="F88"/>
      <c r="G88"/>
      <c r="H88"/>
      <c r="I88" s="410">
        <f>SUM(I86:I87)</f>
        <v>6.3969300000000002</v>
      </c>
    </row>
    <row r="90" spans="2:13" x14ac:dyDescent="0.25">
      <c r="B90" s="86"/>
      <c r="C90" s="86"/>
      <c r="D90" s="86"/>
      <c r="E90" s="86"/>
      <c r="F90" s="86"/>
      <c r="G90" s="86"/>
      <c r="H90" s="86"/>
      <c r="I90" s="86"/>
      <c r="J90" s="86"/>
      <c r="K90" s="86"/>
      <c r="L90" s="86"/>
      <c r="M90" s="86"/>
    </row>
    <row r="91" spans="2:13" x14ac:dyDescent="0.25">
      <c r="B91" s="86"/>
      <c r="C91" s="86"/>
      <c r="D91" s="86"/>
      <c r="E91" s="86"/>
      <c r="F91" s="86"/>
      <c r="G91" s="86"/>
      <c r="H91" s="86"/>
      <c r="I91" s="86"/>
      <c r="J91" s="86"/>
      <c r="K91" s="86"/>
      <c r="L91" s="86"/>
      <c r="M91" s="86"/>
    </row>
    <row r="92" spans="2:13" x14ac:dyDescent="0.25">
      <c r="B92" s="86"/>
      <c r="C92" s="86"/>
      <c r="D92" s="86"/>
      <c r="E92" s="86"/>
      <c r="F92" s="86"/>
      <c r="G92" s="86"/>
      <c r="H92" s="86"/>
      <c r="I92" s="86"/>
      <c r="J92" s="86"/>
      <c r="K92" s="86"/>
      <c r="L92" s="86"/>
      <c r="M92" s="86"/>
    </row>
  </sheetData>
  <mergeCells count="3">
    <mergeCell ref="A1:I1"/>
    <mergeCell ref="A3:K6"/>
    <mergeCell ref="B80:K80"/>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396D-C485-4617-A4B6-A605C3EBC6BF}">
  <dimension ref="A1:M80"/>
  <sheetViews>
    <sheetView workbookViewId="0">
      <selection sqref="A1:XFD1048576"/>
    </sheetView>
  </sheetViews>
  <sheetFormatPr defaultRowHeight="15" x14ac:dyDescent="0.25"/>
  <cols>
    <col min="1" max="16384" width="9.140625" style="84"/>
  </cols>
  <sheetData>
    <row r="1" spans="1:13" ht="21" x14ac:dyDescent="0.35">
      <c r="A1" s="457" t="s">
        <v>1584</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3" x14ac:dyDescent="0.25">
      <c r="A17" s="84" t="s">
        <v>10</v>
      </c>
      <c r="B17" s="84" t="s">
        <v>11</v>
      </c>
    </row>
    <row r="19" spans="1:3" x14ac:dyDescent="0.25">
      <c r="C19" s="84" t="s">
        <v>1585</v>
      </c>
    </row>
    <row r="20" spans="1:3" x14ac:dyDescent="0.25">
      <c r="C20" s="84" t="s">
        <v>1586</v>
      </c>
    </row>
    <row r="21" spans="1:3" x14ac:dyDescent="0.25">
      <c r="C21" s="84" t="s">
        <v>1587</v>
      </c>
    </row>
    <row r="22" spans="1:3" x14ac:dyDescent="0.25">
      <c r="C22" s="84" t="s">
        <v>1588</v>
      </c>
    </row>
    <row r="23" spans="1:3" x14ac:dyDescent="0.25">
      <c r="C23" s="84" t="s">
        <v>1589</v>
      </c>
    </row>
    <row r="27" spans="1:3" x14ac:dyDescent="0.25">
      <c r="A27" s="84" t="s">
        <v>12</v>
      </c>
      <c r="B27" s="84" t="s">
        <v>13</v>
      </c>
    </row>
    <row r="29" spans="1:3" x14ac:dyDescent="0.25">
      <c r="C29" s="84" t="s">
        <v>1590</v>
      </c>
    </row>
    <row r="30" spans="1:3" x14ac:dyDescent="0.25">
      <c r="C30" s="84" t="s">
        <v>1591</v>
      </c>
    </row>
    <row r="31" spans="1:3" x14ac:dyDescent="0.25">
      <c r="C31" s="84" t="s">
        <v>1592</v>
      </c>
    </row>
    <row r="32" spans="1:3" x14ac:dyDescent="0.25">
      <c r="C32" s="84" t="s">
        <v>1593</v>
      </c>
    </row>
    <row r="33" spans="1:9" x14ac:dyDescent="0.25">
      <c r="C33" s="84" t="s">
        <v>1594</v>
      </c>
    </row>
    <row r="37" spans="1:9" x14ac:dyDescent="0.25">
      <c r="A37" s="84" t="s">
        <v>15</v>
      </c>
      <c r="B37" s="84" t="s">
        <v>16</v>
      </c>
    </row>
    <row r="38" spans="1:9" x14ac:dyDescent="0.25">
      <c r="B38" s="84" t="s">
        <v>1595</v>
      </c>
      <c r="E38" s="84" t="s">
        <v>1596</v>
      </c>
      <c r="H38" s="84" t="s">
        <v>1597</v>
      </c>
    </row>
    <row r="39" spans="1:9" x14ac:dyDescent="0.25">
      <c r="B39" s="84" t="s">
        <v>1598</v>
      </c>
      <c r="E39" s="84" t="s">
        <v>1599</v>
      </c>
      <c r="H39" s="84" t="s">
        <v>1600</v>
      </c>
    </row>
    <row r="40" spans="1:9" x14ac:dyDescent="0.25">
      <c r="B40" s="84" t="s">
        <v>1601</v>
      </c>
      <c r="E40" s="84" t="s">
        <v>1602</v>
      </c>
      <c r="H40" s="84" t="s">
        <v>1603</v>
      </c>
      <c r="I40" s="84">
        <v>9.16</v>
      </c>
    </row>
    <row r="41" spans="1:9" x14ac:dyDescent="0.25">
      <c r="B41" s="84" t="s">
        <v>1604</v>
      </c>
    </row>
    <row r="42" spans="1:9" x14ac:dyDescent="0.25">
      <c r="B42" s="84" t="s">
        <v>1605</v>
      </c>
    </row>
    <row r="47" spans="1:9" x14ac:dyDescent="0.25">
      <c r="A47" s="84" t="s">
        <v>17</v>
      </c>
      <c r="B47" s="84" t="s">
        <v>18</v>
      </c>
    </row>
    <row r="48" spans="1:9" x14ac:dyDescent="0.25">
      <c r="B48" s="84" t="s">
        <v>1606</v>
      </c>
    </row>
    <row r="49" spans="1:13" x14ac:dyDescent="0.25">
      <c r="B49" s="291" t="s">
        <v>1607</v>
      </c>
      <c r="C49" s="86"/>
      <c r="D49" s="86"/>
      <c r="E49" s="86"/>
      <c r="F49" s="86"/>
      <c r="G49" s="86"/>
      <c r="H49" s="86"/>
      <c r="I49" s="86"/>
      <c r="J49" s="86"/>
      <c r="K49" s="86"/>
      <c r="L49" s="86"/>
      <c r="M49" s="86"/>
    </row>
    <row r="50" spans="1:13" x14ac:dyDescent="0.25">
      <c r="B50" s="291" t="s">
        <v>1608</v>
      </c>
      <c r="C50" s="86"/>
      <c r="D50" s="86"/>
      <c r="E50" s="86"/>
      <c r="F50" s="86"/>
      <c r="G50" s="86"/>
      <c r="H50" s="86"/>
      <c r="I50" s="86"/>
      <c r="J50" s="86"/>
      <c r="K50" s="86"/>
      <c r="L50" s="86"/>
      <c r="M50" s="86"/>
    </row>
    <row r="51" spans="1:13" x14ac:dyDescent="0.25">
      <c r="B51" s="291" t="s">
        <v>1609</v>
      </c>
      <c r="C51" s="86"/>
      <c r="D51" s="86"/>
      <c r="E51" s="86"/>
      <c r="F51" s="86"/>
      <c r="G51" s="86"/>
      <c r="H51" s="86"/>
      <c r="I51" s="86"/>
      <c r="J51" s="86"/>
      <c r="K51" s="86"/>
      <c r="L51" s="86"/>
      <c r="M51" s="86"/>
    </row>
    <row r="57" spans="1:13" x14ac:dyDescent="0.25">
      <c r="A57" s="84" t="s">
        <v>20</v>
      </c>
      <c r="B57" s="84" t="s">
        <v>21</v>
      </c>
    </row>
    <row r="58" spans="1:13" x14ac:dyDescent="0.25">
      <c r="B58" s="84" t="s">
        <v>1610</v>
      </c>
    </row>
    <row r="59" spans="1:13" x14ac:dyDescent="0.25">
      <c r="B59" s="84" t="s">
        <v>1611</v>
      </c>
    </row>
    <row r="60" spans="1:13" x14ac:dyDescent="0.25">
      <c r="B60" s="84" t="s">
        <v>1612</v>
      </c>
    </row>
    <row r="61" spans="1:13" x14ac:dyDescent="0.25">
      <c r="B61" s="84" t="s">
        <v>1613</v>
      </c>
    </row>
    <row r="62" spans="1:13" x14ac:dyDescent="0.25">
      <c r="B62" s="84" t="s">
        <v>1614</v>
      </c>
    </row>
    <row r="65" spans="1:13" x14ac:dyDescent="0.25">
      <c r="B65" s="86"/>
      <c r="C65" s="86"/>
      <c r="D65" s="86"/>
      <c r="E65" s="86"/>
      <c r="F65" s="86"/>
      <c r="G65" s="86"/>
      <c r="H65" s="86"/>
      <c r="I65" s="86"/>
      <c r="J65" s="86"/>
      <c r="K65" s="86"/>
      <c r="L65" s="86"/>
      <c r="M65" s="86"/>
    </row>
    <row r="66" spans="1:13" x14ac:dyDescent="0.25">
      <c r="B66" s="86"/>
      <c r="C66" s="86"/>
      <c r="D66" s="86"/>
      <c r="E66" s="86"/>
      <c r="F66" s="86"/>
      <c r="G66" s="86"/>
      <c r="H66" s="86"/>
      <c r="I66" s="86"/>
      <c r="J66" s="86"/>
      <c r="K66" s="86"/>
      <c r="L66" s="86"/>
      <c r="M66" s="86"/>
    </row>
    <row r="67" spans="1:13" x14ac:dyDescent="0.25">
      <c r="A67" s="84" t="s">
        <v>22</v>
      </c>
      <c r="B67" s="84" t="s">
        <v>23</v>
      </c>
    </row>
    <row r="68" spans="1:13" ht="40.5" customHeight="1" x14ac:dyDescent="0.25">
      <c r="B68" s="459" t="s">
        <v>24</v>
      </c>
      <c r="C68" s="459"/>
      <c r="D68" s="459"/>
      <c r="E68" s="459"/>
      <c r="F68" s="459"/>
      <c r="G68" s="459"/>
      <c r="H68" s="459"/>
      <c r="I68" s="459"/>
      <c r="J68" s="459"/>
      <c r="K68" s="459"/>
      <c r="L68" s="86"/>
      <c r="M68" s="86"/>
    </row>
    <row r="69" spans="1:13" x14ac:dyDescent="0.25">
      <c r="B69" s="88"/>
      <c r="C69" s="296" t="s">
        <v>1615</v>
      </c>
      <c r="D69" s="88"/>
      <c r="E69" s="88"/>
      <c r="F69" s="88"/>
      <c r="G69" s="88"/>
      <c r="H69" s="88"/>
      <c r="I69" s="88"/>
      <c r="J69" s="88"/>
      <c r="K69" s="88"/>
      <c r="L69" s="86"/>
      <c r="M69" s="86"/>
    </row>
    <row r="70" spans="1:13" x14ac:dyDescent="0.25">
      <c r="B70" s="88"/>
      <c r="C70" s="296" t="s">
        <v>1616</v>
      </c>
      <c r="D70" s="88"/>
      <c r="E70" s="88"/>
      <c r="F70" s="88"/>
      <c r="G70" s="88"/>
      <c r="H70" s="88"/>
      <c r="I70" s="88"/>
      <c r="J70" s="88"/>
      <c r="K70" s="88"/>
      <c r="L70" s="86"/>
      <c r="M70" s="86"/>
    </row>
    <row r="71" spans="1:13" x14ac:dyDescent="0.25">
      <c r="C71" s="84" t="s">
        <v>1617</v>
      </c>
    </row>
    <row r="72" spans="1:13" x14ac:dyDescent="0.25">
      <c r="C72" s="84" t="s">
        <v>1618</v>
      </c>
    </row>
    <row r="73" spans="1:13" x14ac:dyDescent="0.25">
      <c r="C73" s="84" t="s">
        <v>1619</v>
      </c>
    </row>
    <row r="74" spans="1:13" x14ac:dyDescent="0.25">
      <c r="C74" s="84" t="s">
        <v>1620</v>
      </c>
    </row>
    <row r="78" spans="1:13" x14ac:dyDescent="0.25">
      <c r="B78" s="86"/>
      <c r="C78" s="86"/>
      <c r="D78" s="86"/>
      <c r="E78" s="86"/>
      <c r="F78" s="86"/>
      <c r="G78" s="86"/>
      <c r="H78" s="86"/>
      <c r="I78" s="86"/>
      <c r="J78" s="86"/>
      <c r="K78" s="86"/>
      <c r="L78" s="86"/>
      <c r="M78" s="86"/>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sheetData>
  <mergeCells count="3">
    <mergeCell ref="A1:I1"/>
    <mergeCell ref="A3:K6"/>
    <mergeCell ref="B68:K68"/>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721F2-9E30-4A90-BBBA-14299BACFC50}">
  <dimension ref="A1:M80"/>
  <sheetViews>
    <sheetView workbookViewId="0">
      <selection activeCell="G17" sqref="G17"/>
    </sheetView>
  </sheetViews>
  <sheetFormatPr defaultColWidth="9.140625" defaultRowHeight="15" x14ac:dyDescent="0.25"/>
  <cols>
    <col min="1" max="2" width="9.140625" style="84"/>
    <col min="3" max="3" width="16.140625" style="84" customWidth="1"/>
    <col min="4" max="4" width="12.7109375" style="84" bestFit="1" customWidth="1"/>
    <col min="5" max="5" width="9.140625" style="84"/>
    <col min="6" max="6" width="9.42578125" style="84" bestFit="1" customWidth="1"/>
    <col min="7" max="16384" width="9.140625" style="84"/>
  </cols>
  <sheetData>
    <row r="1" spans="1:13" ht="21" x14ac:dyDescent="0.35">
      <c r="A1" s="457" t="s">
        <v>1679</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4" x14ac:dyDescent="0.25">
      <c r="A17" s="84" t="s">
        <v>10</v>
      </c>
      <c r="B17" s="84" t="s">
        <v>11</v>
      </c>
    </row>
    <row r="19" spans="1:4" x14ac:dyDescent="0.25">
      <c r="A19" s="84" t="s">
        <v>1680</v>
      </c>
      <c r="C19" s="84" t="s">
        <v>25</v>
      </c>
      <c r="D19" s="190">
        <v>47.25</v>
      </c>
    </row>
    <row r="20" spans="1:4" x14ac:dyDescent="0.25">
      <c r="C20" s="84" t="s">
        <v>1681</v>
      </c>
      <c r="D20" s="84">
        <v>0</v>
      </c>
    </row>
    <row r="21" spans="1:4" x14ac:dyDescent="0.25">
      <c r="C21" s="84" t="s">
        <v>342</v>
      </c>
      <c r="D21" s="190">
        <v>2019.05</v>
      </c>
    </row>
    <row r="22" spans="1:4" x14ac:dyDescent="0.25">
      <c r="C22" s="84" t="s">
        <v>156</v>
      </c>
      <c r="D22" s="451">
        <v>1.0695E-2</v>
      </c>
    </row>
    <row r="23" spans="1:4" x14ac:dyDescent="0.25">
      <c r="C23" s="84" t="s">
        <v>158</v>
      </c>
      <c r="D23" s="84">
        <v>2019.05</v>
      </c>
    </row>
    <row r="27" spans="1:4" x14ac:dyDescent="0.25">
      <c r="A27" s="84" t="s">
        <v>12</v>
      </c>
      <c r="B27" s="84" t="s">
        <v>13</v>
      </c>
    </row>
    <row r="29" spans="1:4" x14ac:dyDescent="0.25">
      <c r="A29" s="84" t="s">
        <v>1680</v>
      </c>
      <c r="C29" s="84" t="s">
        <v>25</v>
      </c>
      <c r="D29" s="190">
        <v>47.25</v>
      </c>
    </row>
    <row r="30" spans="1:4" x14ac:dyDescent="0.25">
      <c r="C30" s="84" t="s">
        <v>1681</v>
      </c>
      <c r="D30" s="190">
        <v>0</v>
      </c>
    </row>
    <row r="31" spans="1:4" x14ac:dyDescent="0.25">
      <c r="C31" s="84" t="s">
        <v>342</v>
      </c>
      <c r="D31" s="190">
        <v>2030.91</v>
      </c>
    </row>
    <row r="32" spans="1:4" x14ac:dyDescent="0.25">
      <c r="C32" s="84" t="s">
        <v>156</v>
      </c>
      <c r="D32" s="451">
        <v>1.0695E-2</v>
      </c>
    </row>
    <row r="33" spans="1:4" x14ac:dyDescent="0.25">
      <c r="C33" s="84" t="s">
        <v>158</v>
      </c>
      <c r="D33" s="452">
        <v>2030.91</v>
      </c>
    </row>
    <row r="37" spans="1:4" x14ac:dyDescent="0.25">
      <c r="A37" s="84" t="s">
        <v>15</v>
      </c>
      <c r="B37" s="84" t="s">
        <v>16</v>
      </c>
    </row>
    <row r="39" spans="1:4" x14ac:dyDescent="0.25">
      <c r="A39" s="84" t="s">
        <v>1680</v>
      </c>
      <c r="C39" s="84" t="s">
        <v>25</v>
      </c>
      <c r="D39" s="206">
        <v>35.44</v>
      </c>
    </row>
    <row r="40" spans="1:4" x14ac:dyDescent="0.25">
      <c r="C40" s="84" t="s">
        <v>1681</v>
      </c>
      <c r="D40" s="206">
        <v>0</v>
      </c>
    </row>
    <row r="41" spans="1:4" x14ac:dyDescent="0.25">
      <c r="C41" s="84" t="s">
        <v>342</v>
      </c>
      <c r="D41" s="206">
        <v>478.03</v>
      </c>
    </row>
    <row r="42" spans="1:4" x14ac:dyDescent="0.25">
      <c r="C42" s="84" t="s">
        <v>156</v>
      </c>
      <c r="D42" s="451">
        <v>1.0695E-2</v>
      </c>
    </row>
    <row r="43" spans="1:4" x14ac:dyDescent="0.25">
      <c r="C43" s="84" t="s">
        <v>158</v>
      </c>
      <c r="D43" s="206">
        <v>478.03</v>
      </c>
    </row>
    <row r="47" spans="1:4" x14ac:dyDescent="0.25">
      <c r="A47" s="84" t="s">
        <v>17</v>
      </c>
      <c r="B47" s="84" t="s">
        <v>18</v>
      </c>
    </row>
    <row r="49" spans="1:13" x14ac:dyDescent="0.25">
      <c r="A49" s="84" t="s">
        <v>1680</v>
      </c>
      <c r="C49" s="84" t="s">
        <v>25</v>
      </c>
      <c r="D49" s="453">
        <v>25.84</v>
      </c>
      <c r="E49" s="86"/>
      <c r="F49" s="86"/>
      <c r="G49" s="86"/>
      <c r="H49" s="86"/>
      <c r="I49" s="86"/>
      <c r="J49" s="86"/>
      <c r="K49" s="86"/>
      <c r="L49" s="86"/>
      <c r="M49" s="86"/>
    </row>
    <row r="50" spans="1:13" x14ac:dyDescent="0.25">
      <c r="C50" s="84" t="s">
        <v>1681</v>
      </c>
      <c r="D50" s="453">
        <v>0</v>
      </c>
      <c r="E50" s="86"/>
      <c r="F50" s="86"/>
      <c r="G50" s="86"/>
      <c r="H50" s="86"/>
      <c r="I50" s="86"/>
      <c r="J50" s="86"/>
      <c r="K50" s="86"/>
      <c r="L50" s="86"/>
      <c r="M50" s="86"/>
    </row>
    <row r="51" spans="1:13" x14ac:dyDescent="0.25">
      <c r="C51" s="84" t="s">
        <v>342</v>
      </c>
      <c r="D51" s="453">
        <v>1000.5</v>
      </c>
      <c r="E51" s="86"/>
      <c r="F51" s="86"/>
      <c r="G51" s="86"/>
      <c r="H51" s="86"/>
      <c r="I51" s="86"/>
      <c r="J51" s="86"/>
      <c r="K51" s="86"/>
      <c r="L51" s="86"/>
      <c r="M51" s="86"/>
    </row>
    <row r="52" spans="1:13" x14ac:dyDescent="0.25">
      <c r="C52" s="84" t="s">
        <v>156</v>
      </c>
      <c r="D52" s="451">
        <v>1.0695E-2</v>
      </c>
    </row>
    <row r="53" spans="1:13" x14ac:dyDescent="0.25">
      <c r="C53" s="84" t="s">
        <v>158</v>
      </c>
      <c r="D53" s="206">
        <v>1000.5</v>
      </c>
    </row>
    <row r="57" spans="1:13" x14ac:dyDescent="0.25">
      <c r="A57" s="84" t="s">
        <v>20</v>
      </c>
      <c r="B57" s="84" t="s">
        <v>21</v>
      </c>
    </row>
    <row r="59" spans="1:13" x14ac:dyDescent="0.25">
      <c r="A59" s="84" t="s">
        <v>1680</v>
      </c>
      <c r="C59" s="84" t="s">
        <v>25</v>
      </c>
      <c r="D59" s="84">
        <v>1.48</v>
      </c>
    </row>
    <row r="60" spans="1:13" x14ac:dyDescent="0.25">
      <c r="C60" s="84" t="s">
        <v>1681</v>
      </c>
      <c r="D60" s="84">
        <v>0</v>
      </c>
    </row>
    <row r="61" spans="1:13" x14ac:dyDescent="0.25">
      <c r="C61" s="84" t="s">
        <v>342</v>
      </c>
      <c r="D61" s="84">
        <v>93.99</v>
      </c>
    </row>
    <row r="62" spans="1:13" x14ac:dyDescent="0.25">
      <c r="C62" s="84" t="s">
        <v>156</v>
      </c>
      <c r="D62" s="84">
        <v>1.0694999999999999</v>
      </c>
    </row>
    <row r="63" spans="1:13" x14ac:dyDescent="0.25">
      <c r="C63" s="84" t="s">
        <v>158</v>
      </c>
      <c r="D63" s="84">
        <v>93.99</v>
      </c>
    </row>
    <row r="65" spans="1:13" x14ac:dyDescent="0.25">
      <c r="B65" s="86"/>
      <c r="C65" s="86"/>
      <c r="D65" s="86"/>
      <c r="E65" s="86"/>
      <c r="F65" s="86"/>
      <c r="G65" s="86"/>
      <c r="H65" s="86"/>
      <c r="I65" s="86"/>
      <c r="J65" s="86"/>
      <c r="K65" s="86"/>
      <c r="L65" s="86"/>
      <c r="M65" s="86"/>
    </row>
    <row r="66" spans="1:13" x14ac:dyDescent="0.25">
      <c r="B66" s="86"/>
      <c r="C66" s="86"/>
      <c r="D66" s="86"/>
      <c r="E66" s="86"/>
      <c r="F66" s="86"/>
      <c r="G66" s="86"/>
      <c r="H66" s="86"/>
      <c r="I66" s="86"/>
      <c r="J66" s="86"/>
      <c r="K66" s="86"/>
      <c r="L66" s="86"/>
      <c r="M66" s="86"/>
    </row>
    <row r="67" spans="1:13" x14ac:dyDescent="0.25">
      <c r="A67" s="84" t="s">
        <v>22</v>
      </c>
      <c r="B67" s="84" t="s">
        <v>23</v>
      </c>
    </row>
    <row r="68" spans="1:13" ht="40.5" customHeight="1" x14ac:dyDescent="0.25">
      <c r="B68" s="459" t="s">
        <v>24</v>
      </c>
      <c r="C68" s="459"/>
      <c r="D68" s="459"/>
      <c r="E68" s="459"/>
      <c r="F68" s="459"/>
      <c r="G68" s="459"/>
      <c r="H68" s="459"/>
      <c r="I68" s="459"/>
      <c r="J68" s="459"/>
      <c r="K68" s="459"/>
      <c r="L68" s="86"/>
      <c r="M68" s="86"/>
    </row>
    <row r="69" spans="1:13" x14ac:dyDescent="0.25">
      <c r="B69" s="88"/>
      <c r="C69" s="88"/>
      <c r="D69" s="88"/>
      <c r="E69" s="88"/>
      <c r="F69" s="88"/>
      <c r="G69" s="88"/>
      <c r="H69" s="88"/>
      <c r="I69" s="88"/>
      <c r="J69" s="88"/>
      <c r="K69" s="88"/>
      <c r="L69" s="86"/>
      <c r="M69" s="86"/>
    </row>
    <row r="70" spans="1:13" x14ac:dyDescent="0.25">
      <c r="B70" s="88"/>
      <c r="C70" s="88"/>
      <c r="D70" s="88"/>
      <c r="E70" s="88"/>
      <c r="F70" s="88"/>
      <c r="G70" s="88"/>
      <c r="H70" s="88"/>
      <c r="I70" s="88"/>
      <c r="J70" s="88"/>
      <c r="K70" s="88"/>
      <c r="L70" s="86"/>
      <c r="M70" s="86"/>
    </row>
    <row r="71" spans="1:13" x14ac:dyDescent="0.25">
      <c r="A71" s="84" t="s">
        <v>1680</v>
      </c>
      <c r="C71" s="84" t="s">
        <v>25</v>
      </c>
      <c r="D71" s="84">
        <v>16.98</v>
      </c>
    </row>
    <row r="72" spans="1:13" x14ac:dyDescent="0.25">
      <c r="C72" s="84" t="s">
        <v>1681</v>
      </c>
      <c r="D72" s="84">
        <v>0</v>
      </c>
    </row>
    <row r="73" spans="1:13" x14ac:dyDescent="0.25">
      <c r="C73" s="84" t="s">
        <v>342</v>
      </c>
      <c r="D73" s="84">
        <v>1510.02</v>
      </c>
    </row>
    <row r="74" spans="1:13" x14ac:dyDescent="0.25">
      <c r="C74" s="84" t="s">
        <v>156</v>
      </c>
      <c r="D74" s="84">
        <v>1.0694999999999999</v>
      </c>
    </row>
    <row r="75" spans="1:13" x14ac:dyDescent="0.25">
      <c r="C75" s="84" t="s">
        <v>158</v>
      </c>
      <c r="D75" s="84">
        <v>1510.02</v>
      </c>
    </row>
    <row r="78" spans="1:13" x14ac:dyDescent="0.25">
      <c r="B78" s="86"/>
      <c r="C78" s="86"/>
      <c r="D78" s="86"/>
      <c r="E78" s="86"/>
      <c r="F78" s="86"/>
      <c r="G78" s="86"/>
      <c r="H78" s="86"/>
      <c r="I78" s="86"/>
      <c r="J78" s="86"/>
      <c r="K78" s="86"/>
      <c r="L78" s="86"/>
      <c r="M78" s="86"/>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sheetData>
  <mergeCells count="3">
    <mergeCell ref="B68:K68"/>
    <mergeCell ref="A1:I1"/>
    <mergeCell ref="A3:K6"/>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B81B0-3239-4EEE-87A8-28F5F222F468}">
  <dimension ref="A1:M80"/>
  <sheetViews>
    <sheetView workbookViewId="0">
      <selection sqref="A1:XFD1048576"/>
    </sheetView>
  </sheetViews>
  <sheetFormatPr defaultColWidth="9.140625" defaultRowHeight="15" x14ac:dyDescent="0.25"/>
  <cols>
    <col min="1" max="4" width="9.140625" style="84"/>
    <col min="5" max="5" width="10.7109375" style="84" customWidth="1"/>
    <col min="6" max="8" width="9.140625" style="84"/>
    <col min="9" max="9" width="9.7109375" style="84" customWidth="1"/>
    <col min="10" max="16384" width="9.140625" style="84"/>
  </cols>
  <sheetData>
    <row r="1" spans="1:13" ht="21" x14ac:dyDescent="0.35">
      <c r="A1" s="457" t="s">
        <v>1621</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5" x14ac:dyDescent="0.25">
      <c r="A17" s="84" t="s">
        <v>10</v>
      </c>
      <c r="B17" s="84" t="s">
        <v>11</v>
      </c>
    </row>
    <row r="19" spans="1:5" x14ac:dyDescent="0.25">
      <c r="A19"/>
      <c r="B19"/>
      <c r="C19" s="1" t="s">
        <v>1018</v>
      </c>
      <c r="D19"/>
      <c r="E19"/>
    </row>
    <row r="20" spans="1:5" x14ac:dyDescent="0.25">
      <c r="A20"/>
      <c r="B20"/>
      <c r="C20" s="1" t="s">
        <v>557</v>
      </c>
      <c r="D20"/>
      <c r="E20" s="68">
        <v>1888</v>
      </c>
    </row>
    <row r="21" spans="1:5" x14ac:dyDescent="0.25">
      <c r="A21"/>
      <c r="B21"/>
      <c r="C21" s="1" t="s">
        <v>1019</v>
      </c>
      <c r="D21"/>
      <c r="E21" s="68">
        <v>1888</v>
      </c>
    </row>
    <row r="22" spans="1:5" x14ac:dyDescent="0.25">
      <c r="A22"/>
      <c r="B22"/>
      <c r="C22" s="1" t="s">
        <v>156</v>
      </c>
      <c r="D22"/>
      <c r="E22" s="417">
        <v>1.695E-2</v>
      </c>
    </row>
    <row r="23" spans="1:5" x14ac:dyDescent="0.25">
      <c r="A23"/>
      <c r="B23"/>
      <c r="C23" s="1" t="s">
        <v>850</v>
      </c>
      <c r="D23"/>
      <c r="E23" s="68">
        <f xml:space="preserve"> E21 * E22</f>
        <v>32.001599999999996</v>
      </c>
    </row>
    <row r="27" spans="1:5" x14ac:dyDescent="0.25">
      <c r="A27" s="84" t="s">
        <v>12</v>
      </c>
      <c r="B27" s="84" t="s">
        <v>13</v>
      </c>
    </row>
    <row r="28" spans="1:5" x14ac:dyDescent="0.25">
      <c r="A28"/>
      <c r="B28"/>
      <c r="C28"/>
      <c r="D28"/>
      <c r="E28"/>
    </row>
    <row r="29" spans="1:5" x14ac:dyDescent="0.25">
      <c r="A29"/>
      <c r="B29"/>
      <c r="C29" s="1" t="s">
        <v>1018</v>
      </c>
      <c r="D29"/>
      <c r="E29"/>
    </row>
    <row r="30" spans="1:5" x14ac:dyDescent="0.25">
      <c r="A30"/>
      <c r="B30"/>
      <c r="C30" s="1" t="s">
        <v>557</v>
      </c>
      <c r="D30"/>
      <c r="E30" s="68">
        <v>1888</v>
      </c>
    </row>
    <row r="31" spans="1:5" x14ac:dyDescent="0.25">
      <c r="A31"/>
      <c r="B31"/>
      <c r="C31" s="1" t="s">
        <v>1019</v>
      </c>
      <c r="D31"/>
      <c r="E31" s="68">
        <v>1888</v>
      </c>
    </row>
    <row r="32" spans="1:5" x14ac:dyDescent="0.25">
      <c r="A32"/>
      <c r="B32"/>
      <c r="C32" s="1" t="s">
        <v>156</v>
      </c>
      <c r="D32"/>
      <c r="E32" s="417">
        <v>1.695E-2</v>
      </c>
    </row>
    <row r="33" spans="1:12" x14ac:dyDescent="0.25">
      <c r="A33"/>
      <c r="B33"/>
      <c r="C33" s="1" t="s">
        <v>850</v>
      </c>
      <c r="D33"/>
      <c r="E33" s="68">
        <f xml:space="preserve"> E31 * E32</f>
        <v>32.001599999999996</v>
      </c>
    </row>
    <row r="37" spans="1:12" x14ac:dyDescent="0.25">
      <c r="A37" s="84" t="s">
        <v>15</v>
      </c>
      <c r="B37" s="84" t="s">
        <v>16</v>
      </c>
    </row>
    <row r="38" spans="1:12" x14ac:dyDescent="0.25">
      <c r="A38"/>
      <c r="B38"/>
      <c r="C38"/>
      <c r="D38"/>
      <c r="E38"/>
      <c r="F38"/>
      <c r="G38"/>
      <c r="H38"/>
      <c r="I38"/>
      <c r="J38"/>
      <c r="K38"/>
      <c r="L38"/>
    </row>
    <row r="39" spans="1:12" x14ac:dyDescent="0.25">
      <c r="A39"/>
      <c r="B39"/>
      <c r="C39" t="s">
        <v>659</v>
      </c>
      <c r="D39"/>
      <c r="E39"/>
      <c r="F39" s="1"/>
      <c r="G39" t="s">
        <v>661</v>
      </c>
      <c r="H39"/>
      <c r="I39"/>
      <c r="J39"/>
      <c r="K39"/>
      <c r="L39"/>
    </row>
    <row r="40" spans="1:12" x14ac:dyDescent="0.25">
      <c r="A40"/>
      <c r="B40"/>
      <c r="C40" s="1" t="s">
        <v>1018</v>
      </c>
      <c r="D40"/>
      <c r="E40"/>
      <c r="F40"/>
      <c r="G40" s="1" t="s">
        <v>1018</v>
      </c>
      <c r="H40"/>
      <c r="I40"/>
      <c r="J40"/>
      <c r="K40"/>
      <c r="L40"/>
    </row>
    <row r="41" spans="1:12" x14ac:dyDescent="0.25">
      <c r="A41"/>
      <c r="B41"/>
      <c r="C41" s="1" t="s">
        <v>320</v>
      </c>
      <c r="D41"/>
      <c r="E41" s="68">
        <v>1416</v>
      </c>
      <c r="F41" s="1"/>
      <c r="G41" s="1" t="s">
        <v>320</v>
      </c>
      <c r="H41"/>
      <c r="I41" s="68">
        <v>1416</v>
      </c>
      <c r="J41"/>
      <c r="K41" s="1" t="s">
        <v>1020</v>
      </c>
      <c r="L41" s="68">
        <f xml:space="preserve"> I43</f>
        <v>24.001200000000001</v>
      </c>
    </row>
    <row r="42" spans="1:12" x14ac:dyDescent="0.25">
      <c r="A42"/>
      <c r="B42"/>
      <c r="C42" s="1" t="s">
        <v>156</v>
      </c>
      <c r="D42"/>
      <c r="E42" s="417">
        <v>1.695E-2</v>
      </c>
      <c r="F42"/>
      <c r="G42" s="1" t="s">
        <v>156</v>
      </c>
      <c r="H42"/>
      <c r="I42" s="417">
        <v>1.695E-2</v>
      </c>
      <c r="J42"/>
      <c r="K42" s="1" t="s">
        <v>1021</v>
      </c>
      <c r="L42" s="68">
        <f xml:space="preserve"> E43</f>
        <v>-24</v>
      </c>
    </row>
    <row r="43" spans="1:12" x14ac:dyDescent="0.25">
      <c r="A43"/>
      <c r="B43"/>
      <c r="C43" s="1" t="s">
        <v>635</v>
      </c>
      <c r="D43"/>
      <c r="E43" s="68">
        <v>-24</v>
      </c>
      <c r="F43"/>
      <c r="G43" s="1" t="s">
        <v>1022</v>
      </c>
      <c r="H43"/>
      <c r="I43" s="68">
        <f xml:space="preserve"> I41 * I42</f>
        <v>24.001200000000001</v>
      </c>
      <c r="J43"/>
      <c r="K43" s="1" t="s">
        <v>328</v>
      </c>
      <c r="L43" s="68">
        <f xml:space="preserve"> L41 + L42</f>
        <v>1.200000000000756E-3</v>
      </c>
    </row>
    <row r="47" spans="1:12" x14ac:dyDescent="0.25">
      <c r="A47" s="84" t="s">
        <v>17</v>
      </c>
      <c r="B47" s="84" t="s">
        <v>18</v>
      </c>
    </row>
    <row r="48" spans="1:12" x14ac:dyDescent="0.25">
      <c r="A48"/>
      <c r="B48"/>
      <c r="C48"/>
      <c r="D48"/>
      <c r="E48"/>
    </row>
    <row r="49" spans="1:13" x14ac:dyDescent="0.25">
      <c r="A49"/>
      <c r="B49" s="1"/>
      <c r="C49" s="1" t="s">
        <v>1023</v>
      </c>
      <c r="D49" s="1"/>
      <c r="E49" s="1"/>
      <c r="F49" s="86"/>
      <c r="G49" s="86"/>
      <c r="H49" s="86"/>
      <c r="I49" s="86"/>
      <c r="J49" s="86"/>
      <c r="K49" s="86"/>
      <c r="L49" s="86"/>
      <c r="M49" s="86"/>
    </row>
    <row r="50" spans="1:13" x14ac:dyDescent="0.25">
      <c r="A50"/>
      <c r="B50" s="1"/>
      <c r="C50" s="1" t="s">
        <v>557</v>
      </c>
      <c r="D50" s="1"/>
      <c r="E50" s="418">
        <v>1019.96</v>
      </c>
      <c r="F50" s="86"/>
      <c r="G50" s="86"/>
      <c r="H50" s="86"/>
      <c r="I50" s="86"/>
      <c r="J50" s="86"/>
      <c r="K50" s="86"/>
      <c r="L50" s="86"/>
      <c r="M50" s="86"/>
    </row>
    <row r="51" spans="1:13" x14ac:dyDescent="0.25">
      <c r="A51"/>
      <c r="B51" s="1"/>
      <c r="C51" s="1" t="s">
        <v>156</v>
      </c>
      <c r="D51"/>
      <c r="E51" s="417">
        <v>1.695E-2</v>
      </c>
      <c r="F51" s="86"/>
      <c r="G51" s="86"/>
      <c r="H51" s="86"/>
      <c r="I51" s="86"/>
      <c r="J51" s="86"/>
      <c r="K51" s="86"/>
      <c r="L51" s="86"/>
      <c r="M51" s="86"/>
    </row>
    <row r="52" spans="1:13" x14ac:dyDescent="0.25">
      <c r="A52"/>
      <c r="B52"/>
      <c r="C52" s="1" t="s">
        <v>1022</v>
      </c>
      <c r="D52"/>
      <c r="E52" s="68">
        <f xml:space="preserve"> E50 * E51</f>
        <v>17.288322000000001</v>
      </c>
    </row>
    <row r="57" spans="1:13" x14ac:dyDescent="0.25">
      <c r="A57" s="84" t="s">
        <v>20</v>
      </c>
      <c r="B57" s="84" t="s">
        <v>21</v>
      </c>
    </row>
    <row r="58" spans="1:13" x14ac:dyDescent="0.25">
      <c r="A58"/>
      <c r="B58"/>
      <c r="C58"/>
      <c r="D58"/>
      <c r="E58"/>
      <c r="F58"/>
      <c r="G58"/>
      <c r="H58"/>
      <c r="I58"/>
      <c r="J58"/>
      <c r="K58"/>
      <c r="L58"/>
    </row>
    <row r="59" spans="1:13" x14ac:dyDescent="0.25">
      <c r="A59"/>
      <c r="B59"/>
      <c r="C59" s="1" t="s">
        <v>1023</v>
      </c>
      <c r="D59"/>
      <c r="E59"/>
      <c r="F59" s="1"/>
      <c r="G59" s="1" t="s">
        <v>1018</v>
      </c>
      <c r="H59"/>
      <c r="I59"/>
      <c r="J59"/>
      <c r="K59"/>
      <c r="L59"/>
    </row>
    <row r="60" spans="1:13" x14ac:dyDescent="0.25">
      <c r="A60"/>
      <c r="B60"/>
      <c r="C60" s="1" t="s">
        <v>320</v>
      </c>
      <c r="D60"/>
      <c r="E60" s="68">
        <v>874.25</v>
      </c>
      <c r="F60" s="1"/>
      <c r="G60" s="1" t="s">
        <v>320</v>
      </c>
      <c r="H60"/>
      <c r="I60" s="68">
        <v>944</v>
      </c>
      <c r="J60"/>
      <c r="K60" s="1" t="s">
        <v>1024</v>
      </c>
      <c r="L60" s="68">
        <f xml:space="preserve"> I62</f>
        <v>16.000799999999998</v>
      </c>
    </row>
    <row r="61" spans="1:13" x14ac:dyDescent="0.25">
      <c r="A61"/>
      <c r="B61"/>
      <c r="C61" s="1" t="s">
        <v>156</v>
      </c>
      <c r="D61"/>
      <c r="E61" s="417">
        <v>1.695E-2</v>
      </c>
      <c r="F61"/>
      <c r="G61" s="1" t="s">
        <v>156</v>
      </c>
      <c r="H61"/>
      <c r="I61" s="417">
        <v>1.695E-2</v>
      </c>
      <c r="J61"/>
      <c r="K61" s="1" t="s">
        <v>1025</v>
      </c>
      <c r="L61" s="68">
        <f xml:space="preserve"> E62</f>
        <v>-14.82</v>
      </c>
    </row>
    <row r="62" spans="1:13" x14ac:dyDescent="0.25">
      <c r="A62"/>
      <c r="B62"/>
      <c r="C62" s="1" t="s">
        <v>158</v>
      </c>
      <c r="D62"/>
      <c r="E62" s="68">
        <v>-14.82</v>
      </c>
      <c r="F62"/>
      <c r="G62" s="1" t="s">
        <v>1022</v>
      </c>
      <c r="H62"/>
      <c r="I62" s="68">
        <f xml:space="preserve"> I60 * I61</f>
        <v>16.000799999999998</v>
      </c>
      <c r="J62"/>
      <c r="K62" s="1" t="s">
        <v>328</v>
      </c>
      <c r="L62" s="68">
        <f xml:space="preserve"> L60 + L61</f>
        <v>1.1807999999999979</v>
      </c>
    </row>
    <row r="65" spans="1:13" x14ac:dyDescent="0.25">
      <c r="B65" s="86"/>
      <c r="C65" s="86"/>
      <c r="D65" s="86"/>
      <c r="E65" s="86"/>
      <c r="F65" s="86"/>
      <c r="G65" s="86"/>
      <c r="H65" s="86"/>
      <c r="I65" s="86"/>
      <c r="J65" s="86"/>
      <c r="K65" s="86"/>
      <c r="L65" s="86"/>
      <c r="M65" s="86"/>
    </row>
    <row r="66" spans="1:13" x14ac:dyDescent="0.25">
      <c r="B66" s="86"/>
      <c r="C66" s="86"/>
      <c r="D66" s="86"/>
      <c r="E66" s="86"/>
      <c r="F66" s="86"/>
      <c r="G66" s="86"/>
      <c r="H66" s="86"/>
      <c r="I66" s="86"/>
      <c r="J66" s="86"/>
      <c r="K66" s="86"/>
      <c r="L66" s="86"/>
      <c r="M66" s="86"/>
    </row>
    <row r="67" spans="1:13" x14ac:dyDescent="0.25">
      <c r="A67" s="84" t="s">
        <v>22</v>
      </c>
      <c r="B67" s="84" t="s">
        <v>23</v>
      </c>
    </row>
    <row r="68" spans="1:13" x14ac:dyDescent="0.25">
      <c r="A68"/>
      <c r="B68" s="473" t="s">
        <v>1026</v>
      </c>
      <c r="C68" s="473"/>
      <c r="D68" s="473"/>
      <c r="E68" s="473"/>
      <c r="F68" s="473"/>
      <c r="G68" s="473"/>
      <c r="H68" s="473"/>
      <c r="I68" s="473"/>
      <c r="J68" s="473"/>
      <c r="K68" s="473"/>
      <c r="L68" s="86"/>
      <c r="M68" s="86"/>
    </row>
    <row r="69" spans="1:13" x14ac:dyDescent="0.25">
      <c r="A69"/>
      <c r="B69" s="2"/>
      <c r="C69" s="2"/>
      <c r="D69" s="2"/>
      <c r="E69" s="2"/>
      <c r="F69" s="2"/>
      <c r="G69" s="2"/>
      <c r="H69" s="2"/>
      <c r="I69" s="2"/>
      <c r="J69" s="2"/>
      <c r="K69" s="2"/>
      <c r="L69" s="86"/>
      <c r="M69" s="86"/>
    </row>
    <row r="70" spans="1:13" x14ac:dyDescent="0.25">
      <c r="A70"/>
      <c r="B70" s="2"/>
      <c r="C70" s="1" t="s">
        <v>1027</v>
      </c>
      <c r="D70" s="2"/>
      <c r="E70" s="2"/>
      <c r="F70" s="2"/>
      <c r="G70" s="2"/>
      <c r="H70" s="2"/>
      <c r="I70" s="2"/>
      <c r="J70" s="2"/>
      <c r="K70" s="2"/>
      <c r="L70" s="86"/>
      <c r="M70" s="86"/>
    </row>
    <row r="71" spans="1:13" x14ac:dyDescent="0.25">
      <c r="A71"/>
      <c r="B71"/>
      <c r="C71" s="1" t="s">
        <v>320</v>
      </c>
      <c r="D71"/>
      <c r="E71" s="68">
        <v>96</v>
      </c>
      <c r="F71"/>
      <c r="G71"/>
      <c r="H71"/>
      <c r="I71"/>
      <c r="J71"/>
      <c r="K71"/>
    </row>
    <row r="72" spans="1:13" x14ac:dyDescent="0.25">
      <c r="A72"/>
      <c r="B72"/>
      <c r="C72" s="1" t="s">
        <v>1028</v>
      </c>
      <c r="D72"/>
      <c r="E72" s="68">
        <v>96</v>
      </c>
      <c r="F72"/>
      <c r="G72"/>
      <c r="H72"/>
      <c r="I72"/>
      <c r="J72"/>
      <c r="K72"/>
    </row>
    <row r="73" spans="1:13" x14ac:dyDescent="0.25">
      <c r="A73"/>
      <c r="B73"/>
      <c r="C73" s="1" t="s">
        <v>156</v>
      </c>
      <c r="D73"/>
      <c r="E73" s="417">
        <v>1.695E-2</v>
      </c>
      <c r="F73"/>
      <c r="G73"/>
      <c r="H73"/>
      <c r="I73"/>
      <c r="J73"/>
      <c r="K73"/>
    </row>
    <row r="74" spans="1:13" x14ac:dyDescent="0.25">
      <c r="A74"/>
      <c r="B74"/>
      <c r="C74" s="1" t="s">
        <v>701</v>
      </c>
      <c r="D74"/>
      <c r="E74" s="68">
        <f xml:space="preserve"> E72 * E73</f>
        <v>1.6272</v>
      </c>
      <c r="F74"/>
      <c r="G74"/>
      <c r="H74"/>
      <c r="I74"/>
      <c r="J74"/>
      <c r="K74"/>
    </row>
    <row r="78" spans="1:13" x14ac:dyDescent="0.25">
      <c r="B78" s="86"/>
      <c r="C78" s="86"/>
      <c r="D78" s="86"/>
      <c r="E78" s="86"/>
      <c r="F78" s="86"/>
      <c r="G78" s="86"/>
      <c r="H78" s="86"/>
      <c r="I78" s="86"/>
      <c r="J78" s="86"/>
      <c r="K78" s="86"/>
      <c r="L78" s="86"/>
      <c r="M78" s="86"/>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sheetData>
  <mergeCells count="3">
    <mergeCell ref="A1:I1"/>
    <mergeCell ref="A3:K6"/>
    <mergeCell ref="B68:K68"/>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8FB63-4EB8-4CCE-8B5C-FF08A4AD7F5C}">
  <dimension ref="A1:V84"/>
  <sheetViews>
    <sheetView workbookViewId="0">
      <selection activeCell="H14" sqref="H14"/>
    </sheetView>
  </sheetViews>
  <sheetFormatPr defaultColWidth="9.140625" defaultRowHeight="15" x14ac:dyDescent="0.25"/>
  <cols>
    <col min="1" max="3" width="9.140625" style="84"/>
    <col min="4" max="4" width="10.42578125" style="84" bestFit="1" customWidth="1"/>
    <col min="5" max="5" width="3.7109375" style="84" customWidth="1"/>
    <col min="6" max="6" width="12.7109375" style="84" customWidth="1"/>
    <col min="7" max="7" width="5.7109375" style="84" customWidth="1"/>
    <col min="8" max="10" width="10.7109375" style="84" customWidth="1"/>
    <col min="11" max="11" width="11.28515625" style="84" bestFit="1" customWidth="1"/>
    <col min="12" max="12" width="7.85546875" style="84" bestFit="1" customWidth="1"/>
    <col min="13" max="13" width="10.7109375" style="84" customWidth="1"/>
    <col min="14" max="14" width="2.140625" style="84" bestFit="1" customWidth="1"/>
    <col min="15" max="15" width="11" style="84" bestFit="1" customWidth="1"/>
    <col min="16" max="16" width="3.7109375" style="299" customWidth="1"/>
    <col min="17" max="17" width="10.7109375" style="84" bestFit="1" customWidth="1"/>
    <col min="18" max="16384" width="9.140625" style="84"/>
  </cols>
  <sheetData>
    <row r="1" spans="1:12" ht="21" x14ac:dyDescent="0.35">
      <c r="A1" s="457" t="s">
        <v>1</v>
      </c>
      <c r="B1" s="457"/>
      <c r="C1" s="457"/>
      <c r="D1" s="457"/>
      <c r="E1" s="457"/>
      <c r="F1" s="457"/>
      <c r="G1" s="457"/>
      <c r="H1" s="457"/>
      <c r="I1" s="457"/>
    </row>
    <row r="2" spans="1:12" ht="21" x14ac:dyDescent="0.35">
      <c r="A2" s="83"/>
      <c r="B2" s="83"/>
      <c r="C2" s="83"/>
      <c r="D2" s="83"/>
      <c r="E2" s="83"/>
      <c r="F2" s="83"/>
      <c r="G2" s="83"/>
      <c r="H2" s="83"/>
      <c r="I2" s="83"/>
    </row>
    <row r="3" spans="1:12" ht="15" customHeight="1" x14ac:dyDescent="0.25">
      <c r="A3" s="458" t="s">
        <v>1068</v>
      </c>
      <c r="B3" s="458"/>
      <c r="C3" s="458"/>
      <c r="D3" s="458"/>
      <c r="E3" s="458"/>
      <c r="F3" s="458"/>
      <c r="G3" s="458"/>
      <c r="H3" s="458"/>
      <c r="I3" s="458"/>
      <c r="J3" s="458"/>
      <c r="K3" s="85"/>
      <c r="L3" s="85"/>
    </row>
    <row r="4" spans="1:12" x14ac:dyDescent="0.25">
      <c r="A4" s="458"/>
      <c r="B4" s="458"/>
      <c r="C4" s="458"/>
      <c r="D4" s="458"/>
      <c r="E4" s="458"/>
      <c r="F4" s="458"/>
      <c r="G4" s="458"/>
      <c r="H4" s="458"/>
      <c r="I4" s="458"/>
      <c r="J4" s="458"/>
      <c r="K4" s="85"/>
      <c r="L4" s="85"/>
    </row>
    <row r="5" spans="1:12" x14ac:dyDescent="0.25">
      <c r="A5" s="458"/>
      <c r="B5" s="458"/>
      <c r="C5" s="458"/>
      <c r="D5" s="458"/>
      <c r="E5" s="458"/>
      <c r="F5" s="458"/>
      <c r="G5" s="458"/>
      <c r="H5" s="458"/>
      <c r="I5" s="458"/>
      <c r="J5" s="458"/>
      <c r="K5" s="85"/>
      <c r="L5" s="85"/>
    </row>
    <row r="6" spans="1:12" x14ac:dyDescent="0.25">
      <c r="A6" s="458"/>
      <c r="B6" s="458"/>
      <c r="C6" s="458"/>
      <c r="D6" s="458"/>
      <c r="E6" s="458"/>
      <c r="F6" s="458"/>
      <c r="G6" s="458"/>
      <c r="H6" s="458"/>
      <c r="I6" s="458"/>
      <c r="J6" s="458"/>
      <c r="K6" s="85"/>
      <c r="L6" s="85"/>
    </row>
    <row r="9" spans="1:12" x14ac:dyDescent="0.25">
      <c r="B9" s="86" t="s">
        <v>2</v>
      </c>
      <c r="C9" s="86" t="s">
        <v>3</v>
      </c>
      <c r="D9" s="86"/>
      <c r="E9" s="86"/>
      <c r="F9" s="86"/>
      <c r="G9" s="86"/>
      <c r="H9" s="86"/>
    </row>
    <row r="10" spans="1:12" x14ac:dyDescent="0.25">
      <c r="B10" s="86"/>
      <c r="C10" s="86" t="s">
        <v>4</v>
      </c>
      <c r="D10" s="86"/>
      <c r="E10" s="86"/>
      <c r="F10" s="86"/>
      <c r="G10" s="86"/>
      <c r="H10" s="86"/>
    </row>
    <row r="11" spans="1:12" x14ac:dyDescent="0.25">
      <c r="B11" s="86" t="s">
        <v>5</v>
      </c>
      <c r="C11" s="86" t="s">
        <v>6</v>
      </c>
      <c r="D11" s="86"/>
      <c r="E11" s="86"/>
      <c r="F11" s="86"/>
      <c r="G11" s="86"/>
      <c r="H11" s="86"/>
    </row>
    <row r="12" spans="1:12" x14ac:dyDescent="0.25">
      <c r="B12" s="86"/>
      <c r="C12" s="86" t="s">
        <v>7</v>
      </c>
      <c r="D12" s="86"/>
      <c r="E12" s="86"/>
      <c r="F12" s="86"/>
      <c r="G12" s="86"/>
      <c r="H12" s="86"/>
    </row>
    <row r="13" spans="1:12" x14ac:dyDescent="0.25">
      <c r="B13" s="86"/>
      <c r="C13" s="86" t="s">
        <v>8</v>
      </c>
      <c r="D13" s="86"/>
      <c r="E13" s="86"/>
      <c r="F13" s="86"/>
      <c r="G13" s="86"/>
      <c r="H13" s="86"/>
    </row>
    <row r="14" spans="1:12" x14ac:dyDescent="0.25">
      <c r="B14" s="86"/>
      <c r="C14" s="86" t="s">
        <v>9</v>
      </c>
      <c r="D14" s="86"/>
      <c r="E14" s="86"/>
      <c r="F14" s="86"/>
      <c r="G14" s="86"/>
      <c r="H14" s="86"/>
    </row>
    <row r="15" spans="1:12" x14ac:dyDescent="0.25">
      <c r="B15" s="86"/>
      <c r="C15" s="86"/>
      <c r="D15" s="86"/>
      <c r="E15" s="86"/>
      <c r="F15" s="86"/>
      <c r="G15" s="86"/>
      <c r="H15" s="86"/>
    </row>
    <row r="18" spans="1:16" x14ac:dyDescent="0.25">
      <c r="A18" s="84" t="s">
        <v>10</v>
      </c>
      <c r="B18" s="84" t="s">
        <v>11</v>
      </c>
    </row>
    <row r="20" spans="1:16" x14ac:dyDescent="0.25">
      <c r="B20" s="456" t="s">
        <v>1622</v>
      </c>
      <c r="C20" s="456"/>
      <c r="D20" s="456"/>
      <c r="G20" s="204"/>
    </row>
    <row r="21" spans="1:16" x14ac:dyDescent="0.25">
      <c r="B21" s="454" t="s">
        <v>1623</v>
      </c>
      <c r="C21" s="454"/>
      <c r="D21" s="454"/>
      <c r="E21" s="399"/>
      <c r="F21" s="299">
        <v>1830</v>
      </c>
      <c r="H21" s="204"/>
      <c r="J21" s="419"/>
      <c r="N21" s="399"/>
      <c r="O21" s="304"/>
      <c r="P21" s="304"/>
    </row>
    <row r="22" spans="1:16" x14ac:dyDescent="0.25">
      <c r="B22" s="454" t="s">
        <v>1624</v>
      </c>
      <c r="C22" s="454"/>
      <c r="D22" s="454"/>
      <c r="E22" s="399" t="s">
        <v>79</v>
      </c>
      <c r="F22" s="299">
        <v>275</v>
      </c>
      <c r="H22" s="204"/>
      <c r="N22" s="399"/>
      <c r="O22" s="304"/>
      <c r="P22" s="304"/>
    </row>
    <row r="23" spans="1:16" x14ac:dyDescent="0.25">
      <c r="B23" s="454" t="s">
        <v>1683</v>
      </c>
      <c r="C23" s="454"/>
      <c r="D23" s="454"/>
      <c r="E23" s="399" t="s">
        <v>79</v>
      </c>
      <c r="F23" s="299">
        <v>16</v>
      </c>
      <c r="H23" s="204"/>
      <c r="N23" s="399"/>
      <c r="O23" s="304"/>
      <c r="P23" s="304"/>
    </row>
    <row r="24" spans="1:16" x14ac:dyDescent="0.25">
      <c r="B24" s="454" t="s">
        <v>204</v>
      </c>
      <c r="C24" s="454"/>
      <c r="D24" s="454"/>
      <c r="E24" s="399" t="s">
        <v>749</v>
      </c>
      <c r="F24" s="420">
        <f>SUM(F21:F23)</f>
        <v>2121</v>
      </c>
      <c r="N24" s="399"/>
      <c r="O24" s="304"/>
      <c r="P24" s="84"/>
    </row>
    <row r="25" spans="1:16" x14ac:dyDescent="0.25">
      <c r="B25" s="454" t="s">
        <v>549</v>
      </c>
      <c r="C25" s="454"/>
      <c r="D25" s="454"/>
      <c r="E25" s="399" t="s">
        <v>1625</v>
      </c>
      <c r="F25" s="421">
        <v>1.695E-2</v>
      </c>
      <c r="O25" s="420"/>
      <c r="P25" s="84"/>
    </row>
    <row r="26" spans="1:16" x14ac:dyDescent="0.25">
      <c r="B26" s="454" t="s">
        <v>158</v>
      </c>
      <c r="C26" s="454"/>
      <c r="D26" s="454"/>
      <c r="E26" s="399"/>
      <c r="F26" s="422">
        <f>+F24*F25</f>
        <v>35.950949999999999</v>
      </c>
      <c r="J26" s="318"/>
      <c r="K26" s="454"/>
      <c r="L26" s="454"/>
      <c r="M26" s="454"/>
      <c r="N26" s="399"/>
      <c r="O26" s="421"/>
      <c r="P26" s="84"/>
    </row>
    <row r="27" spans="1:16" x14ac:dyDescent="0.25">
      <c r="D27" s="318"/>
      <c r="P27" s="84"/>
    </row>
    <row r="28" spans="1:16" x14ac:dyDescent="0.25">
      <c r="A28" s="84" t="s">
        <v>12</v>
      </c>
      <c r="B28" s="84" t="s">
        <v>13</v>
      </c>
      <c r="P28" s="84"/>
    </row>
    <row r="30" spans="1:16" x14ac:dyDescent="0.25">
      <c r="B30" s="456" t="s">
        <v>1622</v>
      </c>
      <c r="C30" s="456"/>
      <c r="D30" s="456"/>
      <c r="P30" s="84"/>
    </row>
    <row r="31" spans="1:16" x14ac:dyDescent="0.25">
      <c r="B31" s="454" t="s">
        <v>1623</v>
      </c>
      <c r="C31" s="454"/>
      <c r="D31" s="454"/>
      <c r="F31" s="299">
        <v>1830</v>
      </c>
      <c r="J31" s="419"/>
      <c r="K31" s="454"/>
      <c r="L31" s="454"/>
      <c r="M31" s="454"/>
      <c r="N31" s="399"/>
      <c r="O31" s="304"/>
      <c r="P31" s="84"/>
    </row>
    <row r="32" spans="1:16" x14ac:dyDescent="0.25">
      <c r="B32" s="454" t="s">
        <v>1624</v>
      </c>
      <c r="C32" s="454"/>
      <c r="D32" s="454"/>
      <c r="E32" s="399" t="s">
        <v>79</v>
      </c>
      <c r="F32" s="299">
        <v>275</v>
      </c>
      <c r="K32" s="454"/>
      <c r="L32" s="454"/>
      <c r="M32" s="454"/>
      <c r="N32" s="399"/>
      <c r="O32" s="304"/>
      <c r="P32" s="304"/>
    </row>
    <row r="33" spans="1:22" x14ac:dyDescent="0.25">
      <c r="B33" s="454" t="s">
        <v>1684</v>
      </c>
      <c r="C33" s="454"/>
      <c r="D33" s="454"/>
      <c r="E33" s="399" t="s">
        <v>79</v>
      </c>
      <c r="F33" s="299">
        <v>16</v>
      </c>
      <c r="K33" s="399"/>
      <c r="L33" s="399"/>
      <c r="M33" s="399"/>
      <c r="N33" s="399"/>
      <c r="O33" s="304"/>
      <c r="P33" s="304"/>
    </row>
    <row r="34" spans="1:22" x14ac:dyDescent="0.25">
      <c r="B34" s="454" t="s">
        <v>204</v>
      </c>
      <c r="C34" s="454"/>
      <c r="D34" s="454"/>
      <c r="E34" s="399" t="s">
        <v>749</v>
      </c>
      <c r="F34" s="420">
        <f>SUM(F31:F33)</f>
        <v>2121</v>
      </c>
      <c r="K34" s="454"/>
      <c r="L34" s="454"/>
      <c r="M34" s="454"/>
      <c r="N34" s="399"/>
      <c r="O34" s="304"/>
      <c r="P34" s="304"/>
    </row>
    <row r="35" spans="1:22" x14ac:dyDescent="0.25">
      <c r="B35" s="454" t="s">
        <v>549</v>
      </c>
      <c r="C35" s="454"/>
      <c r="D35" s="454"/>
      <c r="E35" s="399" t="s">
        <v>1625</v>
      </c>
      <c r="F35" s="421">
        <v>1.695E-2</v>
      </c>
      <c r="K35" s="454"/>
      <c r="L35" s="454"/>
      <c r="M35" s="454"/>
      <c r="N35" s="399"/>
      <c r="O35" s="420"/>
      <c r="P35" s="304"/>
    </row>
    <row r="36" spans="1:22" x14ac:dyDescent="0.25">
      <c r="B36" s="454" t="s">
        <v>158</v>
      </c>
      <c r="C36" s="454"/>
      <c r="D36" s="454"/>
      <c r="F36" s="422">
        <f>+F34*F35</f>
        <v>35.950949999999999</v>
      </c>
      <c r="J36" s="318"/>
      <c r="K36" s="454"/>
      <c r="L36" s="454"/>
      <c r="M36" s="454"/>
      <c r="N36" s="399"/>
      <c r="O36" s="421"/>
      <c r="P36" s="304"/>
    </row>
    <row r="38" spans="1:22" x14ac:dyDescent="0.25">
      <c r="A38" s="84" t="s">
        <v>15</v>
      </c>
      <c r="B38" s="84" t="s">
        <v>16</v>
      </c>
    </row>
    <row r="40" spans="1:22" x14ac:dyDescent="0.25">
      <c r="B40" s="456" t="s">
        <v>1626</v>
      </c>
      <c r="C40" s="456"/>
      <c r="D40" s="456"/>
      <c r="E40" s="173"/>
      <c r="F40" s="173"/>
      <c r="G40" s="173"/>
      <c r="H40" s="456" t="s">
        <v>1627</v>
      </c>
      <c r="I40" s="456"/>
      <c r="J40" s="456"/>
    </row>
    <row r="41" spans="1:22" x14ac:dyDescent="0.25">
      <c r="B41" s="454" t="s">
        <v>1623</v>
      </c>
      <c r="C41" s="454"/>
      <c r="D41" s="454"/>
      <c r="F41" s="299">
        <v>1372.5</v>
      </c>
      <c r="H41" s="454" t="s">
        <v>1623</v>
      </c>
      <c r="I41" s="454"/>
      <c r="J41" s="454"/>
      <c r="K41" s="299">
        <v>1220</v>
      </c>
      <c r="M41" s="454" t="s">
        <v>1628</v>
      </c>
      <c r="N41" s="454"/>
      <c r="O41" s="454"/>
      <c r="Q41" s="299">
        <v>27.03</v>
      </c>
      <c r="V41" s="318"/>
    </row>
    <row r="42" spans="1:22" x14ac:dyDescent="0.25">
      <c r="B42" s="454" t="s">
        <v>1624</v>
      </c>
      <c r="C42" s="454"/>
      <c r="D42" s="454"/>
      <c r="E42" s="399" t="s">
        <v>79</v>
      </c>
      <c r="F42" s="299">
        <v>206.25</v>
      </c>
      <c r="H42" s="454" t="s">
        <v>1624</v>
      </c>
      <c r="I42" s="454"/>
      <c r="J42" s="454"/>
      <c r="K42" s="299">
        <v>183.33</v>
      </c>
      <c r="M42" s="454" t="s">
        <v>1629</v>
      </c>
      <c r="N42" s="454"/>
      <c r="O42" s="454"/>
      <c r="P42" s="423" t="s">
        <v>96</v>
      </c>
      <c r="Q42" s="299">
        <v>23.79</v>
      </c>
    </row>
    <row r="43" spans="1:22" x14ac:dyDescent="0.25">
      <c r="B43" s="454" t="s">
        <v>1683</v>
      </c>
      <c r="C43" s="454"/>
      <c r="D43" s="454"/>
      <c r="E43" s="399" t="s">
        <v>79</v>
      </c>
      <c r="F43" s="299">
        <v>16</v>
      </c>
      <c r="H43" s="454" t="s">
        <v>204</v>
      </c>
      <c r="I43" s="454"/>
      <c r="J43" s="454"/>
      <c r="K43" s="420">
        <f>SUM(K41:K42)</f>
        <v>1403.33</v>
      </c>
      <c r="M43" s="454" t="s">
        <v>193</v>
      </c>
      <c r="N43" s="454"/>
      <c r="O43" s="454"/>
      <c r="P43" s="423" t="s">
        <v>749</v>
      </c>
      <c r="Q43" s="422">
        <f>Q41-Q42</f>
        <v>3.240000000000002</v>
      </c>
      <c r="S43" s="189"/>
    </row>
    <row r="44" spans="1:22" x14ac:dyDescent="0.25">
      <c r="B44" s="454" t="s">
        <v>204</v>
      </c>
      <c r="C44" s="454"/>
      <c r="D44" s="454"/>
      <c r="E44" s="399" t="s">
        <v>749</v>
      </c>
      <c r="F44" s="420">
        <f>SUM(F41:F43)</f>
        <v>1594.75</v>
      </c>
      <c r="H44" s="454" t="s">
        <v>549</v>
      </c>
      <c r="I44" s="454"/>
      <c r="J44" s="454"/>
      <c r="K44" s="421">
        <v>1.695E-2</v>
      </c>
    </row>
    <row r="45" spans="1:22" x14ac:dyDescent="0.25">
      <c r="B45" s="454" t="s">
        <v>549</v>
      </c>
      <c r="C45" s="454"/>
      <c r="D45" s="454"/>
      <c r="E45" s="399" t="s">
        <v>1625</v>
      </c>
      <c r="F45" s="421">
        <v>1.695E-2</v>
      </c>
      <c r="H45" s="454" t="s">
        <v>158</v>
      </c>
      <c r="I45" s="454"/>
      <c r="J45" s="454"/>
      <c r="K45" s="424">
        <f>+K43*K44</f>
        <v>23.786443499999997</v>
      </c>
      <c r="Q45" s="299"/>
    </row>
    <row r="46" spans="1:22" x14ac:dyDescent="0.25">
      <c r="B46" s="454" t="s">
        <v>158</v>
      </c>
      <c r="C46" s="454"/>
      <c r="D46" s="454"/>
      <c r="F46" s="424">
        <f>+F44*F45</f>
        <v>27.031012499999999</v>
      </c>
      <c r="H46" s="454"/>
      <c r="I46" s="454"/>
      <c r="J46" s="454"/>
      <c r="K46" s="424"/>
      <c r="Q46" s="318"/>
      <c r="V46" s="318"/>
    </row>
    <row r="47" spans="1:22" x14ac:dyDescent="0.25">
      <c r="F47" s="422"/>
      <c r="G47" s="397"/>
      <c r="H47" s="424"/>
      <c r="I47" s="397"/>
      <c r="K47" s="424"/>
      <c r="Q47" s="318"/>
    </row>
    <row r="48" spans="1:22" x14ac:dyDescent="0.25">
      <c r="A48" s="84" t="s">
        <v>17</v>
      </c>
      <c r="B48" s="84" t="s">
        <v>18</v>
      </c>
    </row>
    <row r="50" spans="1:22" x14ac:dyDescent="0.25">
      <c r="B50" s="455" t="s">
        <v>1630</v>
      </c>
      <c r="C50" s="455"/>
      <c r="D50" s="455"/>
      <c r="E50" s="86"/>
      <c r="F50" s="86"/>
      <c r="G50" s="86"/>
      <c r="H50" s="86"/>
      <c r="I50" s="86"/>
      <c r="J50" s="86"/>
      <c r="K50" s="291"/>
      <c r="L50" s="86"/>
      <c r="M50" s="86"/>
      <c r="N50" s="86"/>
    </row>
    <row r="51" spans="1:22" x14ac:dyDescent="0.25">
      <c r="B51" s="454" t="s">
        <v>1623</v>
      </c>
      <c r="C51" s="454"/>
      <c r="D51" s="454"/>
      <c r="E51" s="86"/>
      <c r="F51" s="302">
        <v>849.33</v>
      </c>
      <c r="G51" s="86"/>
      <c r="H51" s="86"/>
      <c r="I51" s="86"/>
      <c r="J51" s="86"/>
      <c r="K51" s="454"/>
      <c r="L51" s="454"/>
      <c r="M51" s="454"/>
      <c r="N51" s="399"/>
      <c r="O51" s="86"/>
      <c r="P51" s="304"/>
      <c r="Q51" s="305"/>
    </row>
    <row r="52" spans="1:22" x14ac:dyDescent="0.25">
      <c r="B52" s="454" t="s">
        <v>1624</v>
      </c>
      <c r="C52" s="454"/>
      <c r="D52" s="454"/>
      <c r="E52" s="405" t="s">
        <v>79</v>
      </c>
      <c r="F52" s="302">
        <v>127.17</v>
      </c>
      <c r="G52" s="86"/>
      <c r="H52" s="86"/>
      <c r="I52" s="86"/>
      <c r="J52" s="86"/>
      <c r="K52" s="454"/>
      <c r="L52" s="454"/>
      <c r="M52" s="454"/>
      <c r="N52" s="399"/>
      <c r="O52" s="405"/>
      <c r="P52" s="304"/>
      <c r="Q52" s="305"/>
    </row>
    <row r="53" spans="1:22" x14ac:dyDescent="0.25">
      <c r="B53" s="454" t="s">
        <v>1684</v>
      </c>
      <c r="C53" s="454"/>
      <c r="D53" s="454"/>
      <c r="E53" s="405" t="s">
        <v>79</v>
      </c>
      <c r="F53" s="302">
        <v>16</v>
      </c>
      <c r="G53" s="86"/>
      <c r="H53" s="86"/>
      <c r="I53" s="86"/>
      <c r="J53" s="86"/>
      <c r="K53" s="399"/>
      <c r="L53" s="399"/>
      <c r="M53" s="399"/>
      <c r="N53" s="399"/>
      <c r="O53" s="405"/>
      <c r="P53" s="304"/>
      <c r="Q53" s="305"/>
    </row>
    <row r="54" spans="1:22" x14ac:dyDescent="0.25">
      <c r="B54" s="454" t="s">
        <v>204</v>
      </c>
      <c r="C54" s="454"/>
      <c r="D54" s="454"/>
      <c r="E54" s="399" t="s">
        <v>749</v>
      </c>
      <c r="F54" s="299">
        <f>SUM(F51:F53)</f>
        <v>992.5</v>
      </c>
      <c r="K54" s="454"/>
      <c r="L54" s="454"/>
      <c r="M54" s="454"/>
      <c r="N54" s="399"/>
      <c r="O54" s="399"/>
      <c r="P54" s="304"/>
      <c r="Q54" s="304"/>
    </row>
    <row r="55" spans="1:22" x14ac:dyDescent="0.25">
      <c r="B55" s="454" t="s">
        <v>549</v>
      </c>
      <c r="C55" s="454"/>
      <c r="D55" s="454"/>
      <c r="E55" s="399" t="s">
        <v>1625</v>
      </c>
      <c r="F55" s="421">
        <v>1.695E-2</v>
      </c>
      <c r="K55" s="454"/>
      <c r="L55" s="454"/>
      <c r="M55" s="454"/>
      <c r="N55" s="399"/>
      <c r="O55" s="399"/>
      <c r="P55" s="304"/>
      <c r="Q55" s="304"/>
    </row>
    <row r="56" spans="1:22" x14ac:dyDescent="0.25">
      <c r="B56" s="454" t="s">
        <v>158</v>
      </c>
      <c r="C56" s="454"/>
      <c r="D56" s="454"/>
      <c r="F56" s="422">
        <f>F54*0.01695</f>
        <v>16.822875</v>
      </c>
      <c r="K56" s="454"/>
      <c r="L56" s="454"/>
      <c r="M56" s="454"/>
      <c r="N56" s="399"/>
      <c r="O56" s="399"/>
      <c r="P56" s="304"/>
      <c r="Q56" s="421"/>
    </row>
    <row r="58" spans="1:22" x14ac:dyDescent="0.25">
      <c r="A58" s="84" t="s">
        <v>20</v>
      </c>
      <c r="B58" s="84" t="s">
        <v>21</v>
      </c>
    </row>
    <row r="60" spans="1:22" x14ac:dyDescent="0.25">
      <c r="B60" s="456" t="s">
        <v>1631</v>
      </c>
      <c r="C60" s="456"/>
      <c r="D60" s="456"/>
      <c r="E60" s="456"/>
      <c r="H60" s="456" t="s">
        <v>1632</v>
      </c>
      <c r="I60" s="456"/>
      <c r="J60" s="456"/>
      <c r="K60"/>
    </row>
    <row r="61" spans="1:22" x14ac:dyDescent="0.25">
      <c r="B61" s="454" t="s">
        <v>1623</v>
      </c>
      <c r="C61" s="454"/>
      <c r="D61" s="454"/>
      <c r="E61" s="86"/>
      <c r="F61" s="299">
        <v>728</v>
      </c>
      <c r="H61" s="454" t="s">
        <v>1623</v>
      </c>
      <c r="I61" s="454"/>
      <c r="J61" s="454"/>
      <c r="K61" s="299">
        <v>915</v>
      </c>
      <c r="L61" s="419"/>
      <c r="M61" s="454" t="s">
        <v>1633</v>
      </c>
      <c r="N61" s="454"/>
      <c r="O61" s="454"/>
      <c r="Q61" s="299">
        <v>17.84</v>
      </c>
      <c r="R61" s="318"/>
      <c r="V61" s="318"/>
    </row>
    <row r="62" spans="1:22" x14ac:dyDescent="0.25">
      <c r="B62" s="454" t="s">
        <v>1624</v>
      </c>
      <c r="C62" s="454"/>
      <c r="D62" s="454"/>
      <c r="E62" s="405" t="s">
        <v>79</v>
      </c>
      <c r="F62" s="299">
        <v>109</v>
      </c>
      <c r="H62" s="454" t="s">
        <v>1624</v>
      </c>
      <c r="I62" s="454"/>
      <c r="J62" s="454"/>
      <c r="K62" s="299">
        <v>137.5</v>
      </c>
      <c r="M62" s="454" t="s">
        <v>1634</v>
      </c>
      <c r="N62" s="454"/>
      <c r="O62" s="454"/>
      <c r="P62" s="399" t="s">
        <v>96</v>
      </c>
      <c r="Q62" s="299">
        <v>14.19</v>
      </c>
    </row>
    <row r="63" spans="1:22" x14ac:dyDescent="0.25">
      <c r="B63" s="454" t="s">
        <v>204</v>
      </c>
      <c r="C63" s="454"/>
      <c r="D63" s="454"/>
      <c r="E63" s="399" t="s">
        <v>749</v>
      </c>
      <c r="F63" s="299">
        <f>SUM(F61:F62)</f>
        <v>837</v>
      </c>
      <c r="H63" s="454" t="s">
        <v>204</v>
      </c>
      <c r="I63" s="454"/>
      <c r="J63" s="454"/>
      <c r="K63" s="299">
        <f>SUM(K61:K62)</f>
        <v>1052.5</v>
      </c>
      <c r="L63" s="318"/>
      <c r="M63" s="454" t="s">
        <v>193</v>
      </c>
      <c r="N63" s="454"/>
      <c r="O63" s="454"/>
      <c r="P63" s="399" t="s">
        <v>749</v>
      </c>
      <c r="Q63" s="422">
        <f>Q61-Q62</f>
        <v>3.6500000000000004</v>
      </c>
      <c r="R63" s="318"/>
      <c r="S63" s="189"/>
    </row>
    <row r="64" spans="1:22" x14ac:dyDescent="0.25">
      <c r="B64" s="454" t="s">
        <v>549</v>
      </c>
      <c r="C64" s="454"/>
      <c r="D64" s="454"/>
      <c r="E64" s="399" t="s">
        <v>1625</v>
      </c>
      <c r="F64" s="421">
        <v>1.695E-2</v>
      </c>
      <c r="H64" s="454" t="s">
        <v>549</v>
      </c>
      <c r="I64" s="454"/>
      <c r="J64" s="454"/>
      <c r="K64" s="421">
        <v>1.695E-2</v>
      </c>
      <c r="P64" s="84"/>
    </row>
    <row r="65" spans="1:22" x14ac:dyDescent="0.25">
      <c r="B65" s="454" t="s">
        <v>158</v>
      </c>
      <c r="C65" s="454"/>
      <c r="D65" s="454"/>
      <c r="F65" s="422">
        <f>F63*0.01695</f>
        <v>14.187149999999999</v>
      </c>
      <c r="H65" s="454" t="s">
        <v>158</v>
      </c>
      <c r="I65" s="454"/>
      <c r="J65" s="454"/>
      <c r="K65" s="422">
        <f>K63*0.01695</f>
        <v>17.839874999999999</v>
      </c>
      <c r="L65" s="419"/>
      <c r="P65" s="84"/>
      <c r="R65" s="318"/>
      <c r="V65" s="318"/>
    </row>
    <row r="66" spans="1:22" x14ac:dyDescent="0.25">
      <c r="M66" s="86"/>
      <c r="N66" s="86"/>
      <c r="O66" s="86"/>
      <c r="P66" s="196"/>
      <c r="Q66" s="86"/>
    </row>
    <row r="67" spans="1:22" x14ac:dyDescent="0.25">
      <c r="A67" s="84" t="s">
        <v>22</v>
      </c>
      <c r="B67" s="84" t="s">
        <v>23</v>
      </c>
    </row>
    <row r="68" spans="1:22" ht="40.5" customHeight="1" x14ac:dyDescent="0.25">
      <c r="B68" s="459" t="s">
        <v>24</v>
      </c>
      <c r="C68" s="459"/>
      <c r="D68" s="459"/>
      <c r="E68" s="459"/>
      <c r="F68" s="459"/>
      <c r="G68" s="459"/>
      <c r="H68" s="459"/>
      <c r="I68" s="459"/>
      <c r="J68" s="459"/>
      <c r="K68" s="86"/>
      <c r="L68" s="86"/>
    </row>
    <row r="69" spans="1:22" x14ac:dyDescent="0.25">
      <c r="B69" s="88"/>
      <c r="C69" s="88"/>
      <c r="D69" s="88"/>
      <c r="E69" s="88"/>
      <c r="F69" s="88"/>
      <c r="G69" s="88"/>
      <c r="H69" s="88"/>
      <c r="I69" s="88"/>
      <c r="J69" s="88"/>
      <c r="K69" s="86"/>
      <c r="L69" s="86"/>
    </row>
    <row r="70" spans="1:22" x14ac:dyDescent="0.25">
      <c r="B70" s="460" t="s">
        <v>1635</v>
      </c>
      <c r="C70" s="460"/>
      <c r="D70" s="460"/>
      <c r="E70" s="88"/>
      <c r="F70" s="88"/>
      <c r="G70" s="88"/>
      <c r="H70" s="88"/>
      <c r="I70" s="88"/>
      <c r="J70" s="88"/>
      <c r="K70" s="86"/>
      <c r="L70" s="86"/>
    </row>
    <row r="71" spans="1:22" x14ac:dyDescent="0.25">
      <c r="B71" s="204"/>
      <c r="C71" s="461" t="s">
        <v>1636</v>
      </c>
      <c r="D71" s="461"/>
      <c r="F71" s="426" t="s">
        <v>1637</v>
      </c>
    </row>
    <row r="72" spans="1:22" x14ac:dyDescent="0.25">
      <c r="C72" s="461" t="s">
        <v>1638</v>
      </c>
      <c r="D72" s="461"/>
      <c r="E72" s="399" t="s">
        <v>1625</v>
      </c>
      <c r="F72" s="426">
        <v>35</v>
      </c>
      <c r="G72" s="427" t="s">
        <v>1639</v>
      </c>
    </row>
    <row r="73" spans="1:22" x14ac:dyDescent="0.25">
      <c r="C73" s="461" t="s">
        <v>1640</v>
      </c>
      <c r="D73" s="461"/>
      <c r="E73" s="399" t="s">
        <v>79</v>
      </c>
      <c r="F73" s="428">
        <v>25995</v>
      </c>
    </row>
    <row r="74" spans="1:22" x14ac:dyDescent="0.25">
      <c r="C74" s="461" t="s">
        <v>1641</v>
      </c>
      <c r="D74" s="461"/>
      <c r="E74" s="399" t="s">
        <v>749</v>
      </c>
      <c r="F74" s="428">
        <v>31245</v>
      </c>
      <c r="G74" s="429" t="s">
        <v>1642</v>
      </c>
    </row>
    <row r="75" spans="1:22" x14ac:dyDescent="0.25">
      <c r="C75" s="455" t="s">
        <v>1643</v>
      </c>
      <c r="D75" s="455"/>
      <c r="E75" s="399" t="s">
        <v>1644</v>
      </c>
      <c r="F75" s="428">
        <v>32000</v>
      </c>
      <c r="S75" s="318"/>
    </row>
    <row r="76" spans="1:22" x14ac:dyDescent="0.25">
      <c r="C76" s="397"/>
      <c r="D76" s="397"/>
      <c r="F76" s="428"/>
      <c r="S76" s="318"/>
    </row>
    <row r="77" spans="1:22" x14ac:dyDescent="0.25">
      <c r="B77" s="456" t="s">
        <v>1645</v>
      </c>
      <c r="C77" s="456"/>
      <c r="D77" s="456"/>
      <c r="E77" s="456"/>
    </row>
    <row r="78" spans="1:22" x14ac:dyDescent="0.25">
      <c r="B78" s="454" t="s">
        <v>1623</v>
      </c>
      <c r="C78" s="454"/>
      <c r="D78" s="454"/>
      <c r="E78" s="86"/>
      <c r="F78" s="299">
        <v>417.4</v>
      </c>
      <c r="J78" s="454"/>
      <c r="K78" s="454"/>
      <c r="L78" s="86"/>
      <c r="M78" s="299"/>
      <c r="N78" s="299"/>
      <c r="S78" s="318"/>
    </row>
    <row r="79" spans="1:22" x14ac:dyDescent="0.25">
      <c r="B79" s="454" t="s">
        <v>1624</v>
      </c>
      <c r="C79" s="454"/>
      <c r="D79" s="454"/>
      <c r="E79" s="405" t="s">
        <v>79</v>
      </c>
      <c r="F79" s="299">
        <v>63</v>
      </c>
      <c r="G79" s="86"/>
      <c r="H79" s="86"/>
      <c r="I79" s="86"/>
      <c r="J79" s="454"/>
      <c r="K79" s="454"/>
      <c r="L79" s="405"/>
      <c r="M79" s="299"/>
      <c r="N79" s="299"/>
      <c r="Q79" s="86"/>
      <c r="R79" s="86"/>
      <c r="S79" s="86"/>
    </row>
    <row r="80" spans="1:22" x14ac:dyDescent="0.25">
      <c r="B80" s="454" t="s">
        <v>1684</v>
      </c>
      <c r="C80" s="454"/>
      <c r="D80" s="454"/>
      <c r="E80" s="405" t="s">
        <v>79</v>
      </c>
      <c r="F80" s="299">
        <v>16</v>
      </c>
      <c r="G80" s="86"/>
      <c r="H80" s="86"/>
      <c r="I80" s="86"/>
      <c r="J80" s="399"/>
      <c r="K80" s="399"/>
      <c r="L80" s="405"/>
      <c r="M80" s="299"/>
      <c r="N80" s="299"/>
      <c r="Q80" s="86"/>
      <c r="R80" s="86"/>
      <c r="S80" s="86"/>
    </row>
    <row r="81" spans="2:19" x14ac:dyDescent="0.25">
      <c r="B81" s="454" t="s">
        <v>204</v>
      </c>
      <c r="C81" s="454"/>
      <c r="D81" s="454"/>
      <c r="E81" s="399" t="s">
        <v>749</v>
      </c>
      <c r="F81" s="299">
        <f>SUM(F78:F80)</f>
        <v>496.4</v>
      </c>
      <c r="G81" s="86"/>
      <c r="H81" s="86"/>
      <c r="I81" s="86"/>
      <c r="J81" s="454"/>
      <c r="K81" s="454"/>
      <c r="L81" s="399"/>
      <c r="M81" s="299"/>
      <c r="N81" s="299"/>
      <c r="Q81" s="291"/>
      <c r="R81" s="86"/>
      <c r="S81" s="425"/>
    </row>
    <row r="82" spans="2:19" x14ac:dyDescent="0.25">
      <c r="B82" s="454" t="s">
        <v>549</v>
      </c>
      <c r="C82" s="454"/>
      <c r="D82" s="454"/>
      <c r="E82" s="399" t="s">
        <v>1625</v>
      </c>
      <c r="F82" s="421">
        <v>1.695E-2</v>
      </c>
      <c r="G82" s="86"/>
      <c r="H82" s="86"/>
      <c r="I82" s="86"/>
      <c r="J82" s="454"/>
      <c r="K82" s="454"/>
      <c r="L82" s="399"/>
      <c r="M82" s="299"/>
      <c r="N82" s="299"/>
      <c r="P82" s="304"/>
      <c r="R82" s="86"/>
      <c r="S82" s="86"/>
    </row>
    <row r="83" spans="2:19" x14ac:dyDescent="0.25">
      <c r="B83" s="454" t="s">
        <v>158</v>
      </c>
      <c r="C83" s="454"/>
      <c r="D83" s="454"/>
      <c r="F83" s="422">
        <f>F81*0.01695</f>
        <v>8.4139799999999987</v>
      </c>
      <c r="J83" s="454"/>
      <c r="K83" s="454"/>
      <c r="L83" s="399"/>
      <c r="M83" s="421"/>
      <c r="N83" s="421"/>
      <c r="P83" s="304"/>
      <c r="S83" s="318"/>
    </row>
    <row r="84" spans="2:19" x14ac:dyDescent="0.25">
      <c r="G84" s="84" t="s">
        <v>14</v>
      </c>
      <c r="J84" s="454"/>
      <c r="K84" s="454"/>
      <c r="M84" s="422"/>
      <c r="N84" s="422"/>
      <c r="P84" s="304"/>
      <c r="Q84" s="189"/>
    </row>
  </sheetData>
  <mergeCells count="86">
    <mergeCell ref="B80:D80"/>
    <mergeCell ref="B81:D81"/>
    <mergeCell ref="B70:D70"/>
    <mergeCell ref="C71:D71"/>
    <mergeCell ref="C72:D72"/>
    <mergeCell ref="C73:D73"/>
    <mergeCell ref="C74:D74"/>
    <mergeCell ref="B65:D65"/>
    <mergeCell ref="H65:J65"/>
    <mergeCell ref="B64:D64"/>
    <mergeCell ref="H64:J64"/>
    <mergeCell ref="B68:J68"/>
    <mergeCell ref="B50:D50"/>
    <mergeCell ref="B51:D51"/>
    <mergeCell ref="B54:D54"/>
    <mergeCell ref="B55:D55"/>
    <mergeCell ref="B56:D56"/>
    <mergeCell ref="B44:D44"/>
    <mergeCell ref="H44:J44"/>
    <mergeCell ref="B45:D45"/>
    <mergeCell ref="H45:J45"/>
    <mergeCell ref="B46:D46"/>
    <mergeCell ref="H46:J46"/>
    <mergeCell ref="B42:D42"/>
    <mergeCell ref="H42:J42"/>
    <mergeCell ref="B43:D43"/>
    <mergeCell ref="H43:J43"/>
    <mergeCell ref="M42:O42"/>
    <mergeCell ref="M43:O43"/>
    <mergeCell ref="A1:I1"/>
    <mergeCell ref="B20:D20"/>
    <mergeCell ref="B21:D21"/>
    <mergeCell ref="B22:D22"/>
    <mergeCell ref="A3:J6"/>
    <mergeCell ref="B23:D23"/>
    <mergeCell ref="B24:D24"/>
    <mergeCell ref="B25:D25"/>
    <mergeCell ref="B31:D31"/>
    <mergeCell ref="B32:D32"/>
    <mergeCell ref="B26:D26"/>
    <mergeCell ref="K26:M26"/>
    <mergeCell ref="B30:D30"/>
    <mergeCell ref="K31:M31"/>
    <mergeCell ref="K32:M32"/>
    <mergeCell ref="K34:M34"/>
    <mergeCell ref="B33:D33"/>
    <mergeCell ref="B34:D34"/>
    <mergeCell ref="K35:M35"/>
    <mergeCell ref="K36:M36"/>
    <mergeCell ref="B40:D40"/>
    <mergeCell ref="H40:J40"/>
    <mergeCell ref="B41:D41"/>
    <mergeCell ref="H41:J41"/>
    <mergeCell ref="M41:O41"/>
    <mergeCell ref="B35:D35"/>
    <mergeCell ref="B36:D36"/>
    <mergeCell ref="K51:M51"/>
    <mergeCell ref="B52:D52"/>
    <mergeCell ref="K52:M52"/>
    <mergeCell ref="K54:M54"/>
    <mergeCell ref="K55:M55"/>
    <mergeCell ref="B53:D53"/>
    <mergeCell ref="K56:M56"/>
    <mergeCell ref="B60:E60"/>
    <mergeCell ref="H60:J60"/>
    <mergeCell ref="B61:D61"/>
    <mergeCell ref="H61:J61"/>
    <mergeCell ref="M61:O61"/>
    <mergeCell ref="B62:D62"/>
    <mergeCell ref="H62:J62"/>
    <mergeCell ref="M62:O62"/>
    <mergeCell ref="B63:D63"/>
    <mergeCell ref="H63:J63"/>
    <mergeCell ref="M63:O63"/>
    <mergeCell ref="C75:D75"/>
    <mergeCell ref="B77:E77"/>
    <mergeCell ref="B78:D78"/>
    <mergeCell ref="J78:K78"/>
    <mergeCell ref="B79:D79"/>
    <mergeCell ref="J79:K79"/>
    <mergeCell ref="J84:K84"/>
    <mergeCell ref="J81:K81"/>
    <mergeCell ref="B82:D82"/>
    <mergeCell ref="J82:K82"/>
    <mergeCell ref="B83:D83"/>
    <mergeCell ref="J83:K83"/>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7A836-5535-4B58-BA29-46EC26B1460E}">
  <dimension ref="A1:M86"/>
  <sheetViews>
    <sheetView workbookViewId="0">
      <selection sqref="A1:XFD1048576"/>
    </sheetView>
  </sheetViews>
  <sheetFormatPr defaultRowHeight="15" x14ac:dyDescent="0.25"/>
  <cols>
    <col min="2" max="3" width="10.140625" customWidth="1"/>
  </cols>
  <sheetData>
    <row r="1" spans="1:13" ht="20.25" x14ac:dyDescent="0.3">
      <c r="A1" s="472" t="s">
        <v>1646</v>
      </c>
      <c r="B1" s="472"/>
      <c r="C1" s="472"/>
      <c r="D1" s="472"/>
      <c r="E1" s="472"/>
      <c r="F1" s="472"/>
      <c r="G1" s="472"/>
      <c r="H1" s="472"/>
      <c r="I1" s="472"/>
    </row>
    <row r="2" spans="1:13" ht="15" customHeight="1" x14ac:dyDescent="0.25">
      <c r="A2" s="463" t="s">
        <v>1070</v>
      </c>
      <c r="B2" s="463"/>
      <c r="C2" s="463"/>
      <c r="D2" s="463"/>
      <c r="E2" s="463"/>
      <c r="F2" s="463"/>
      <c r="G2" s="463"/>
      <c r="H2" s="463"/>
      <c r="I2" s="463"/>
      <c r="J2" s="463"/>
      <c r="K2" s="463"/>
      <c r="L2" s="3"/>
      <c r="M2" s="3"/>
    </row>
    <row r="3" spans="1:13" x14ac:dyDescent="0.25">
      <c r="A3" s="463"/>
      <c r="B3" s="463"/>
      <c r="C3" s="463"/>
      <c r="D3" s="463"/>
      <c r="E3" s="463"/>
      <c r="F3" s="463"/>
      <c r="G3" s="463"/>
      <c r="H3" s="463"/>
      <c r="I3" s="463"/>
      <c r="J3" s="463"/>
      <c r="K3" s="463"/>
      <c r="L3" s="3"/>
      <c r="M3" s="3"/>
    </row>
    <row r="4" spans="1:13" x14ac:dyDescent="0.25">
      <c r="A4" s="463"/>
      <c r="B4" s="463"/>
      <c r="C4" s="463"/>
      <c r="D4" s="463"/>
      <c r="E4" s="463"/>
      <c r="F4" s="463"/>
      <c r="G4" s="463"/>
      <c r="H4" s="463"/>
      <c r="I4" s="463"/>
      <c r="J4" s="463"/>
      <c r="K4" s="463"/>
      <c r="L4" s="3"/>
      <c r="M4" s="3"/>
    </row>
    <row r="5" spans="1:13" x14ac:dyDescent="0.25">
      <c r="A5" s="463"/>
      <c r="B5" s="463"/>
      <c r="C5" s="463"/>
      <c r="D5" s="463"/>
      <c r="E5" s="463"/>
      <c r="F5" s="463"/>
      <c r="G5" s="463"/>
      <c r="H5" s="463"/>
      <c r="I5" s="463"/>
      <c r="J5" s="463"/>
      <c r="K5" s="463"/>
      <c r="L5" s="3"/>
      <c r="M5" s="3"/>
    </row>
    <row r="8" spans="1:13" x14ac:dyDescent="0.25">
      <c r="B8" s="1" t="s">
        <v>2</v>
      </c>
      <c r="C8" s="1" t="s">
        <v>3</v>
      </c>
      <c r="D8" s="1"/>
      <c r="E8" s="1"/>
      <c r="F8" s="1"/>
      <c r="G8" s="1"/>
      <c r="H8" s="1"/>
    </row>
    <row r="9" spans="1:13" x14ac:dyDescent="0.25">
      <c r="B9" s="1"/>
      <c r="C9" s="1" t="s">
        <v>4</v>
      </c>
      <c r="D9" s="1"/>
      <c r="E9" s="1"/>
      <c r="F9" s="1"/>
      <c r="G9" s="1"/>
      <c r="H9" s="1"/>
    </row>
    <row r="10" spans="1:13" x14ac:dyDescent="0.25">
      <c r="B10" s="1" t="s">
        <v>5</v>
      </c>
      <c r="C10" s="1" t="s">
        <v>6</v>
      </c>
      <c r="D10" s="1"/>
      <c r="E10" s="1"/>
      <c r="F10" s="1"/>
      <c r="G10" s="1"/>
      <c r="H10" s="1"/>
    </row>
    <row r="11" spans="1:13" x14ac:dyDescent="0.25">
      <c r="B11" s="1"/>
      <c r="C11" s="1" t="s">
        <v>7</v>
      </c>
      <c r="D11" s="1"/>
      <c r="E11" s="1"/>
      <c r="F11" s="1"/>
      <c r="G11" s="1"/>
      <c r="H11" s="1"/>
    </row>
    <row r="12" spans="1:13" x14ac:dyDescent="0.25">
      <c r="B12" s="1"/>
      <c r="C12" s="1" t="s">
        <v>8</v>
      </c>
      <c r="D12" s="1"/>
      <c r="E12" s="1"/>
      <c r="F12" s="1"/>
      <c r="G12" s="1"/>
      <c r="H12" s="1"/>
    </row>
    <row r="13" spans="1:13" x14ac:dyDescent="0.25">
      <c r="B13" s="1"/>
      <c r="C13" s="1" t="s">
        <v>9</v>
      </c>
      <c r="D13" s="1"/>
      <c r="E13" s="1"/>
      <c r="F13" s="1"/>
      <c r="G13" s="1"/>
      <c r="H13" s="1"/>
    </row>
    <row r="16" spans="1:13" x14ac:dyDescent="0.25">
      <c r="A16" t="s">
        <v>10</v>
      </c>
      <c r="B16" t="s">
        <v>11</v>
      </c>
    </row>
    <row r="18" spans="1:11" ht="36.75" customHeight="1" x14ac:dyDescent="0.25">
      <c r="E18" s="430" t="s">
        <v>720</v>
      </c>
      <c r="F18" s="431" t="s">
        <v>721</v>
      </c>
      <c r="G18" s="430" t="s">
        <v>722</v>
      </c>
    </row>
    <row r="19" spans="1:11" x14ac:dyDescent="0.25">
      <c r="B19" s="531" t="s">
        <v>723</v>
      </c>
      <c r="C19" s="531"/>
    </row>
    <row r="20" spans="1:11" x14ac:dyDescent="0.25">
      <c r="B20" s="531" t="s">
        <v>724</v>
      </c>
      <c r="C20" s="531"/>
      <c r="E20">
        <v>1131.25</v>
      </c>
    </row>
    <row r="21" spans="1:11" x14ac:dyDescent="0.25">
      <c r="B21" s="510" t="s">
        <v>725</v>
      </c>
      <c r="C21" s="510"/>
      <c r="D21" s="52" t="s">
        <v>79</v>
      </c>
      <c r="E21" s="240"/>
      <c r="F21" s="240">
        <v>1868.37</v>
      </c>
      <c r="G21" s="240" t="s">
        <v>726</v>
      </c>
      <c r="H21" s="240"/>
      <c r="I21" s="240"/>
      <c r="J21" s="240"/>
      <c r="K21" s="240"/>
    </row>
    <row r="22" spans="1:11" x14ac:dyDescent="0.25">
      <c r="B22" t="s">
        <v>727</v>
      </c>
      <c r="E22">
        <v>1131.25</v>
      </c>
      <c r="F22">
        <v>1868.37</v>
      </c>
    </row>
    <row r="23" spans="1:11" x14ac:dyDescent="0.25">
      <c r="B23" s="510" t="s">
        <v>728</v>
      </c>
      <c r="C23" s="510"/>
      <c r="D23" s="432" t="s">
        <v>83</v>
      </c>
      <c r="E23" s="433">
        <v>1.695E-2</v>
      </c>
      <c r="F23" s="433">
        <v>1.695E-2</v>
      </c>
      <c r="G23" s="240"/>
    </row>
    <row r="24" spans="1:11" ht="15.75" thickBot="1" x14ac:dyDescent="0.3">
      <c r="B24" s="344" t="s">
        <v>531</v>
      </c>
      <c r="D24" s="434"/>
      <c r="E24" s="434">
        <v>19.170000000000002</v>
      </c>
      <c r="F24" s="434">
        <v>31.67</v>
      </c>
      <c r="G24" s="434">
        <v>50.84</v>
      </c>
    </row>
    <row r="25" spans="1:11" ht="15.75" thickTop="1" x14ac:dyDescent="0.25"/>
    <row r="26" spans="1:11" x14ac:dyDescent="0.25">
      <c r="B26" s="4" t="s">
        <v>729</v>
      </c>
    </row>
    <row r="28" spans="1:11" x14ac:dyDescent="0.25">
      <c r="A28" t="s">
        <v>12</v>
      </c>
      <c r="B28" t="s">
        <v>13</v>
      </c>
    </row>
    <row r="30" spans="1:11" ht="34.5" customHeight="1" x14ac:dyDescent="0.25">
      <c r="E30" s="430" t="s">
        <v>720</v>
      </c>
      <c r="F30" s="435" t="s">
        <v>721</v>
      </c>
      <c r="G30" s="430" t="s">
        <v>722</v>
      </c>
    </row>
    <row r="31" spans="1:11" x14ac:dyDescent="0.25">
      <c r="B31" s="531" t="s">
        <v>723</v>
      </c>
      <c r="C31" s="531"/>
    </row>
    <row r="32" spans="1:11" x14ac:dyDescent="0.25">
      <c r="B32" s="531" t="s">
        <v>724</v>
      </c>
      <c r="C32" s="531"/>
      <c r="E32">
        <v>1131.25</v>
      </c>
    </row>
    <row r="33" spans="1:11" x14ac:dyDescent="0.25">
      <c r="B33" s="510" t="s">
        <v>725</v>
      </c>
      <c r="C33" s="510"/>
      <c r="D33" s="52" t="s">
        <v>79</v>
      </c>
      <c r="E33" s="240"/>
      <c r="F33" s="240">
        <v>1868.37</v>
      </c>
      <c r="G33" s="240" t="s">
        <v>726</v>
      </c>
      <c r="H33" s="240"/>
      <c r="I33" s="240"/>
      <c r="J33" s="240"/>
      <c r="K33" s="240"/>
    </row>
    <row r="34" spans="1:11" x14ac:dyDescent="0.25">
      <c r="B34" t="s">
        <v>727</v>
      </c>
      <c r="E34">
        <v>1131.25</v>
      </c>
      <c r="F34">
        <v>1868.37</v>
      </c>
    </row>
    <row r="35" spans="1:11" x14ac:dyDescent="0.25">
      <c r="B35" s="510" t="s">
        <v>728</v>
      </c>
      <c r="C35" s="510"/>
      <c r="D35" s="432" t="s">
        <v>83</v>
      </c>
      <c r="E35" s="433">
        <v>1.695E-2</v>
      </c>
      <c r="F35" s="433">
        <v>1.695E-2</v>
      </c>
      <c r="G35" s="240"/>
    </row>
    <row r="36" spans="1:11" ht="15.75" thickBot="1" x14ac:dyDescent="0.3">
      <c r="B36" s="344" t="s">
        <v>531</v>
      </c>
      <c r="D36" s="434"/>
      <c r="E36" s="434">
        <v>19.170000000000002</v>
      </c>
      <c r="F36" s="434">
        <v>31.67</v>
      </c>
      <c r="G36" s="434">
        <v>50.84</v>
      </c>
    </row>
    <row r="37" spans="1:11" ht="15.75" thickTop="1" x14ac:dyDescent="0.25">
      <c r="B37" s="344"/>
    </row>
    <row r="38" spans="1:11" x14ac:dyDescent="0.25">
      <c r="B38" s="532" t="s">
        <v>729</v>
      </c>
      <c r="C38" s="532"/>
      <c r="D38" s="532"/>
      <c r="E38" s="532"/>
      <c r="F38" s="532"/>
    </row>
    <row r="40" spans="1:11" x14ac:dyDescent="0.25">
      <c r="A40" t="s">
        <v>15</v>
      </c>
      <c r="B40" t="s">
        <v>16</v>
      </c>
    </row>
    <row r="42" spans="1:11" ht="34.5" customHeight="1" x14ac:dyDescent="0.25">
      <c r="E42" s="430" t="s">
        <v>720</v>
      </c>
      <c r="F42" s="435" t="s">
        <v>721</v>
      </c>
      <c r="G42" s="430" t="s">
        <v>722</v>
      </c>
    </row>
    <row r="43" spans="1:11" x14ac:dyDescent="0.25">
      <c r="B43" s="531" t="s">
        <v>724</v>
      </c>
      <c r="C43" s="531"/>
      <c r="E43">
        <v>0</v>
      </c>
    </row>
    <row r="44" spans="1:11" x14ac:dyDescent="0.25">
      <c r="B44" s="531" t="s">
        <v>725</v>
      </c>
      <c r="C44" s="531"/>
      <c r="F44">
        <v>2743.75</v>
      </c>
      <c r="G44" s="240" t="s">
        <v>730</v>
      </c>
    </row>
    <row r="45" spans="1:11" x14ac:dyDescent="0.25">
      <c r="B45" s="510" t="s">
        <v>731</v>
      </c>
      <c r="C45" s="510"/>
      <c r="D45" s="240"/>
      <c r="E45" s="240"/>
      <c r="F45" s="240">
        <v>1868.37</v>
      </c>
      <c r="G45" s="240" t="s">
        <v>726</v>
      </c>
      <c r="H45" s="240"/>
      <c r="I45" s="240"/>
      <c r="J45" s="240"/>
      <c r="K45" s="240"/>
    </row>
    <row r="46" spans="1:11" x14ac:dyDescent="0.25">
      <c r="B46" s="531" t="s">
        <v>727</v>
      </c>
      <c r="C46" s="531"/>
      <c r="E46">
        <v>0</v>
      </c>
      <c r="F46">
        <v>875.38</v>
      </c>
    </row>
    <row r="47" spans="1:11" x14ac:dyDescent="0.25">
      <c r="B47" s="531" t="s">
        <v>728</v>
      </c>
      <c r="C47" s="531"/>
      <c r="D47" s="211" t="s">
        <v>83</v>
      </c>
      <c r="E47" s="417">
        <v>1.695E-2</v>
      </c>
      <c r="F47" s="417">
        <v>1.695E-2</v>
      </c>
    </row>
    <row r="48" spans="1:11" x14ac:dyDescent="0.25">
      <c r="B48" s="510" t="s">
        <v>732</v>
      </c>
      <c r="C48" s="510"/>
      <c r="D48" s="211" t="s">
        <v>83</v>
      </c>
      <c r="E48" s="240">
        <v>0.75</v>
      </c>
      <c r="F48" s="240">
        <v>0.75</v>
      </c>
      <c r="G48" s="240"/>
    </row>
    <row r="49" spans="1:13" ht="15.75" thickBot="1" x14ac:dyDescent="0.3">
      <c r="B49" s="344" t="s">
        <v>531</v>
      </c>
      <c r="C49" s="323"/>
      <c r="D49" s="434"/>
      <c r="E49" s="434">
        <v>0</v>
      </c>
      <c r="F49" s="434">
        <v>11.13</v>
      </c>
      <c r="G49" s="434">
        <v>11.13</v>
      </c>
    </row>
    <row r="50" spans="1:13" ht="15.75" thickTop="1" x14ac:dyDescent="0.25">
      <c r="B50" s="323"/>
      <c r="C50" s="323"/>
    </row>
    <row r="51" spans="1:13" x14ac:dyDescent="0.25">
      <c r="B51" s="323"/>
      <c r="C51" s="323"/>
    </row>
    <row r="53" spans="1:13" x14ac:dyDescent="0.25">
      <c r="A53" t="s">
        <v>17</v>
      </c>
      <c r="B53" t="s">
        <v>18</v>
      </c>
    </row>
    <row r="55" spans="1:13" ht="34.5" customHeight="1" x14ac:dyDescent="0.25">
      <c r="B55" s="1"/>
      <c r="C55" s="1"/>
      <c r="D55" s="1"/>
      <c r="E55" s="430" t="s">
        <v>720</v>
      </c>
      <c r="F55" s="435" t="s">
        <v>721</v>
      </c>
      <c r="G55" s="430" t="s">
        <v>722</v>
      </c>
      <c r="H55" s="1"/>
      <c r="I55" s="1"/>
      <c r="J55" s="1"/>
      <c r="K55" s="1"/>
      <c r="L55" s="1"/>
      <c r="M55" s="1"/>
    </row>
    <row r="56" spans="1:13" x14ac:dyDescent="0.25">
      <c r="B56" s="531" t="s">
        <v>724</v>
      </c>
      <c r="C56" s="531"/>
      <c r="D56" s="1"/>
      <c r="E56" s="76">
        <v>1036.75</v>
      </c>
      <c r="F56" s="1"/>
      <c r="G56" s="1"/>
      <c r="H56" s="1"/>
      <c r="I56" s="1"/>
      <c r="J56" s="1"/>
      <c r="K56" s="1"/>
      <c r="L56" s="1"/>
      <c r="M56" s="1"/>
    </row>
    <row r="57" spans="1:13" x14ac:dyDescent="0.25">
      <c r="B57" s="510" t="s">
        <v>725</v>
      </c>
      <c r="C57" s="510"/>
      <c r="D57" s="436"/>
      <c r="E57" s="436"/>
      <c r="F57" s="437">
        <v>2610.2199999999998</v>
      </c>
      <c r="G57" s="437" t="s">
        <v>733</v>
      </c>
      <c r="H57" s="436"/>
      <c r="I57" s="436"/>
      <c r="J57" s="436"/>
      <c r="K57" s="436"/>
      <c r="L57" s="1"/>
      <c r="M57" s="1"/>
    </row>
    <row r="58" spans="1:13" x14ac:dyDescent="0.25">
      <c r="B58" s="531" t="s">
        <v>727</v>
      </c>
      <c r="C58" s="531"/>
      <c r="E58">
        <v>1036.75</v>
      </c>
      <c r="F58">
        <v>2610.2199999999998</v>
      </c>
    </row>
    <row r="59" spans="1:13" x14ac:dyDescent="0.25">
      <c r="B59" s="531" t="s">
        <v>728</v>
      </c>
      <c r="C59" s="531"/>
      <c r="D59" s="432" t="s">
        <v>83</v>
      </c>
      <c r="E59" s="417">
        <v>1.695E-2</v>
      </c>
      <c r="F59" s="417">
        <v>1.695E-2</v>
      </c>
    </row>
    <row r="60" spans="1:13" x14ac:dyDescent="0.25">
      <c r="B60" s="510" t="s">
        <v>732</v>
      </c>
      <c r="C60" s="510"/>
      <c r="D60" s="432" t="s">
        <v>83</v>
      </c>
      <c r="E60" s="240">
        <v>0.75</v>
      </c>
      <c r="F60" s="240">
        <v>0.58333000000000002</v>
      </c>
      <c r="G60" s="240"/>
    </row>
    <row r="61" spans="1:13" ht="15.75" thickBot="1" x14ac:dyDescent="0.3">
      <c r="B61" s="344" t="s">
        <v>531</v>
      </c>
      <c r="E61" s="434">
        <v>13.18</v>
      </c>
      <c r="F61" s="434">
        <v>25.81</v>
      </c>
      <c r="G61" s="434">
        <v>38.99</v>
      </c>
    </row>
    <row r="62" spans="1:13" ht="15.75" thickTop="1" x14ac:dyDescent="0.25"/>
    <row r="63" spans="1:13" x14ac:dyDescent="0.25">
      <c r="A63" t="s">
        <v>20</v>
      </c>
      <c r="B63" t="s">
        <v>21</v>
      </c>
    </row>
    <row r="65" spans="1:13" x14ac:dyDescent="0.25">
      <c r="B65" s="531" t="s">
        <v>724</v>
      </c>
      <c r="C65" s="531"/>
      <c r="E65">
        <v>1131.25</v>
      </c>
    </row>
    <row r="66" spans="1:13" x14ac:dyDescent="0.25">
      <c r="B66" s="510" t="s">
        <v>724</v>
      </c>
      <c r="C66" s="510"/>
      <c r="D66" s="432" t="s">
        <v>96</v>
      </c>
      <c r="E66" s="240">
        <v>1036.75</v>
      </c>
      <c r="F66" s="240"/>
      <c r="G66" s="240"/>
    </row>
    <row r="67" spans="1:13" x14ac:dyDescent="0.25">
      <c r="B67" t="s">
        <v>727</v>
      </c>
      <c r="E67" s="313">
        <v>94.5</v>
      </c>
    </row>
    <row r="68" spans="1:13" x14ac:dyDescent="0.25">
      <c r="B68" s="531" t="s">
        <v>728</v>
      </c>
      <c r="C68" s="531"/>
      <c r="D68" s="432" t="s">
        <v>83</v>
      </c>
      <c r="E68" s="417">
        <v>1.695E-2</v>
      </c>
    </row>
    <row r="69" spans="1:13" x14ac:dyDescent="0.25">
      <c r="B69" s="510" t="s">
        <v>732</v>
      </c>
      <c r="C69" s="510"/>
      <c r="D69" s="432" t="s">
        <v>83</v>
      </c>
      <c r="E69" s="240">
        <v>0.5</v>
      </c>
    </row>
    <row r="70" spans="1:13" ht="15.75" thickBot="1" x14ac:dyDescent="0.3">
      <c r="B70" t="s">
        <v>531</v>
      </c>
      <c r="E70" s="438">
        <v>0.8</v>
      </c>
    </row>
    <row r="71" spans="1:13" ht="15.75" thickTop="1" x14ac:dyDescent="0.25">
      <c r="B71" s="1"/>
      <c r="C71" s="1"/>
      <c r="D71" s="1"/>
      <c r="E71" s="1"/>
      <c r="F71" s="1"/>
      <c r="G71" s="1"/>
      <c r="H71" s="1"/>
      <c r="I71" s="1"/>
      <c r="J71" s="1"/>
      <c r="K71" s="1"/>
      <c r="L71" s="1"/>
      <c r="M71" s="1"/>
    </row>
    <row r="72" spans="1:13" x14ac:dyDescent="0.25">
      <c r="B72" s="1"/>
      <c r="C72" s="1"/>
      <c r="D72" s="1"/>
      <c r="E72" s="1"/>
      <c r="F72" s="1"/>
      <c r="G72" s="1"/>
      <c r="H72" s="1"/>
      <c r="I72" s="1"/>
      <c r="J72" s="1"/>
      <c r="K72" s="1"/>
      <c r="L72" s="1"/>
      <c r="M72" s="1"/>
    </row>
    <row r="73" spans="1:13" x14ac:dyDescent="0.25">
      <c r="A73" t="s">
        <v>22</v>
      </c>
      <c r="B73" t="s">
        <v>23</v>
      </c>
    </row>
    <row r="74" spans="1:13" ht="40.5" customHeight="1" x14ac:dyDescent="0.25">
      <c r="B74" s="473" t="s">
        <v>24</v>
      </c>
      <c r="C74" s="473"/>
      <c r="D74" s="473"/>
      <c r="E74" s="473"/>
      <c r="F74" s="473"/>
      <c r="G74" s="473"/>
      <c r="H74" s="473"/>
      <c r="I74" s="473"/>
      <c r="J74" s="473"/>
      <c r="K74" s="473"/>
      <c r="L74" s="1"/>
      <c r="M74" s="1"/>
    </row>
    <row r="75" spans="1:13" x14ac:dyDescent="0.25">
      <c r="B75" s="2"/>
      <c r="C75" s="2"/>
      <c r="D75" s="2"/>
      <c r="E75" s="2"/>
      <c r="F75" s="2"/>
      <c r="G75" s="2"/>
      <c r="H75" s="2"/>
      <c r="I75" s="2"/>
      <c r="J75" s="2"/>
      <c r="K75" s="2"/>
      <c r="L75" s="1"/>
      <c r="M75" s="1"/>
    </row>
    <row r="76" spans="1:13" ht="34.5" customHeight="1" x14ac:dyDescent="0.25">
      <c r="B76" s="2"/>
      <c r="C76" s="2"/>
      <c r="D76" s="2"/>
      <c r="E76" s="430" t="s">
        <v>720</v>
      </c>
      <c r="F76" s="435" t="s">
        <v>721</v>
      </c>
      <c r="G76" s="430" t="s">
        <v>722</v>
      </c>
      <c r="H76" s="2"/>
      <c r="I76" s="2"/>
      <c r="J76" s="2"/>
      <c r="K76" s="2"/>
      <c r="L76" s="1"/>
      <c r="M76" s="1"/>
    </row>
    <row r="77" spans="1:13" x14ac:dyDescent="0.25">
      <c r="B77" s="74" t="s">
        <v>734</v>
      </c>
    </row>
    <row r="78" spans="1:13" x14ac:dyDescent="0.25">
      <c r="B78" s="531" t="s">
        <v>724</v>
      </c>
      <c r="C78" s="531"/>
      <c r="E78" s="313">
        <v>238.5</v>
      </c>
    </row>
    <row r="79" spans="1:13" x14ac:dyDescent="0.25">
      <c r="B79" s="510" t="s">
        <v>725</v>
      </c>
      <c r="C79" s="510"/>
      <c r="D79" s="52" t="s">
        <v>79</v>
      </c>
      <c r="E79" s="240"/>
      <c r="F79" s="240">
        <v>4931.9399999999996</v>
      </c>
      <c r="G79" s="240" t="s">
        <v>735</v>
      </c>
      <c r="H79" s="240"/>
      <c r="I79" s="240"/>
      <c r="J79" s="240"/>
      <c r="K79" s="240"/>
    </row>
    <row r="80" spans="1:13" x14ac:dyDescent="0.25">
      <c r="B80" s="531" t="s">
        <v>727</v>
      </c>
      <c r="C80" s="531"/>
      <c r="E80" s="313">
        <v>238.5</v>
      </c>
      <c r="F80">
        <v>4931.9399999999996</v>
      </c>
    </row>
    <row r="81" spans="2:13" x14ac:dyDescent="0.25">
      <c r="B81" s="510" t="s">
        <v>728</v>
      </c>
      <c r="C81" s="510"/>
      <c r="D81" s="432" t="s">
        <v>83</v>
      </c>
      <c r="E81" s="433">
        <v>1.695E-2</v>
      </c>
      <c r="F81" s="433">
        <v>1.695E-2</v>
      </c>
      <c r="G81" s="240"/>
    </row>
    <row r="82" spans="2:13" ht="15.75" thickBot="1" x14ac:dyDescent="0.3">
      <c r="B82" t="s">
        <v>531</v>
      </c>
      <c r="E82" s="434">
        <v>4.04</v>
      </c>
      <c r="F82" s="438">
        <v>83.6</v>
      </c>
      <c r="G82" s="434">
        <v>87.64</v>
      </c>
    </row>
    <row r="83" spans="2:13" ht="15.75" thickTop="1" x14ac:dyDescent="0.25"/>
    <row r="84" spans="2:13" x14ac:dyDescent="0.25">
      <c r="B84" s="1"/>
      <c r="C84" s="1"/>
      <c r="D84" s="1"/>
      <c r="E84" s="1"/>
      <c r="F84" s="1"/>
      <c r="G84" s="1"/>
      <c r="H84" s="1"/>
      <c r="I84" s="1"/>
      <c r="J84" s="1"/>
      <c r="K84" s="1"/>
      <c r="L84" s="1"/>
      <c r="M84" s="1"/>
    </row>
    <row r="85" spans="2:13" x14ac:dyDescent="0.25">
      <c r="B85" s="1"/>
      <c r="C85" s="1"/>
      <c r="D85" s="1"/>
      <c r="E85" s="1"/>
      <c r="F85" s="1"/>
      <c r="G85" s="1"/>
      <c r="H85" s="1"/>
      <c r="I85" s="1"/>
      <c r="J85" s="1"/>
      <c r="K85" s="1"/>
      <c r="L85" s="1"/>
      <c r="M85" s="1"/>
    </row>
    <row r="86" spans="2:13" x14ac:dyDescent="0.25">
      <c r="B86" s="1"/>
      <c r="C86" s="1"/>
      <c r="D86" s="1"/>
      <c r="E86" s="1"/>
      <c r="F86" s="1"/>
      <c r="G86" s="1"/>
      <c r="H86" s="1"/>
      <c r="I86" s="1"/>
      <c r="J86" s="1"/>
      <c r="K86" s="1"/>
      <c r="L86" s="1"/>
      <c r="M86" s="1"/>
    </row>
  </sheetData>
  <mergeCells count="31">
    <mergeCell ref="A1:I1"/>
    <mergeCell ref="A2:K5"/>
    <mergeCell ref="B19:C19"/>
    <mergeCell ref="B20:C20"/>
    <mergeCell ref="B21:C21"/>
    <mergeCell ref="B23:C23"/>
    <mergeCell ref="B31:C31"/>
    <mergeCell ref="B32:C32"/>
    <mergeCell ref="B33:C33"/>
    <mergeCell ref="B56:C56"/>
    <mergeCell ref="B57:C57"/>
    <mergeCell ref="B35:C35"/>
    <mergeCell ref="B38:F38"/>
    <mergeCell ref="B43:C43"/>
    <mergeCell ref="B44:C44"/>
    <mergeCell ref="B45:C45"/>
    <mergeCell ref="B46:C46"/>
    <mergeCell ref="B47:C47"/>
    <mergeCell ref="B48:C48"/>
    <mergeCell ref="B80:C80"/>
    <mergeCell ref="B81:C81"/>
    <mergeCell ref="B68:C68"/>
    <mergeCell ref="B69:C69"/>
    <mergeCell ref="B74:K74"/>
    <mergeCell ref="B78:C78"/>
    <mergeCell ref="B79:C79"/>
    <mergeCell ref="B58:C58"/>
    <mergeCell ref="B59:C59"/>
    <mergeCell ref="B60:C60"/>
    <mergeCell ref="B65:C65"/>
    <mergeCell ref="B66:C66"/>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8B8B4-835A-4EC1-8138-D35A8CCE6745}">
  <dimension ref="A1:O80"/>
  <sheetViews>
    <sheetView workbookViewId="0">
      <selection sqref="A1:XFD1048576"/>
    </sheetView>
  </sheetViews>
  <sheetFormatPr defaultColWidth="9.140625" defaultRowHeight="15" x14ac:dyDescent="0.25"/>
  <cols>
    <col min="1" max="4" width="9.140625" style="84"/>
    <col min="5" max="5" width="10" style="84" bestFit="1" customWidth="1"/>
    <col min="6" max="16384" width="9.140625" style="84"/>
  </cols>
  <sheetData>
    <row r="1" spans="1:13" ht="21" x14ac:dyDescent="0.35">
      <c r="A1" s="457" t="s">
        <v>1647</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6" x14ac:dyDescent="0.25">
      <c r="A17" s="84" t="s">
        <v>10</v>
      </c>
      <c r="B17" s="84" t="s">
        <v>11</v>
      </c>
    </row>
    <row r="19" spans="1:6" x14ac:dyDescent="0.25">
      <c r="C19" s="53" t="s">
        <v>736</v>
      </c>
      <c r="D19" s="439">
        <v>19</v>
      </c>
      <c r="E19" s="440">
        <v>80000</v>
      </c>
      <c r="F19" s="29" t="s">
        <v>737</v>
      </c>
    </row>
    <row r="20" spans="1:6" x14ac:dyDescent="0.25">
      <c r="C20" s="53" t="s">
        <v>738</v>
      </c>
      <c r="D20" s="53"/>
      <c r="E20" s="441">
        <v>12</v>
      </c>
      <c r="F20" s="29" t="s">
        <v>739</v>
      </c>
    </row>
    <row r="21" spans="1:6" x14ac:dyDescent="0.25">
      <c r="C21" s="53" t="s">
        <v>549</v>
      </c>
      <c r="D21" s="53"/>
      <c r="E21" s="442">
        <v>1.695E-2</v>
      </c>
      <c r="F21" s="29"/>
    </row>
    <row r="22" spans="1:6" x14ac:dyDescent="0.25">
      <c r="C22" s="54" t="s">
        <v>740</v>
      </c>
      <c r="D22" s="54"/>
      <c r="E22" s="443">
        <v>2834</v>
      </c>
      <c r="F22" s="29"/>
    </row>
    <row r="23" spans="1:6" x14ac:dyDescent="0.25">
      <c r="C23" s="29"/>
      <c r="D23" s="29"/>
      <c r="E23" s="29"/>
      <c r="F23" s="29"/>
    </row>
    <row r="24" spans="1:6" ht="15.75" thickBot="1" x14ac:dyDescent="0.3">
      <c r="C24" s="55" t="s">
        <v>741</v>
      </c>
      <c r="D24" s="55"/>
      <c r="E24" s="444">
        <v>48.036299999999997</v>
      </c>
      <c r="F24" s="53" t="s">
        <v>742</v>
      </c>
    </row>
    <row r="25" spans="1:6" ht="15.75" thickTop="1" x14ac:dyDescent="0.25">
      <c r="C25" s="445" t="s">
        <v>743</v>
      </c>
      <c r="D25"/>
      <c r="E25"/>
      <c r="F25"/>
    </row>
    <row r="27" spans="1:6" x14ac:dyDescent="0.25">
      <c r="A27" s="84" t="s">
        <v>12</v>
      </c>
      <c r="B27" s="84" t="s">
        <v>13</v>
      </c>
    </row>
    <row r="29" spans="1:6" x14ac:dyDescent="0.25">
      <c r="C29" s="53" t="s">
        <v>736</v>
      </c>
      <c r="D29" s="439">
        <v>19</v>
      </c>
      <c r="E29" s="440">
        <v>80000</v>
      </c>
      <c r="F29" s="29" t="s">
        <v>737</v>
      </c>
    </row>
    <row r="30" spans="1:6" x14ac:dyDescent="0.25">
      <c r="C30" s="53" t="s">
        <v>738</v>
      </c>
      <c r="D30" s="53"/>
      <c r="E30" s="441">
        <v>12</v>
      </c>
      <c r="F30" s="29" t="s">
        <v>739</v>
      </c>
    </row>
    <row r="31" spans="1:6" x14ac:dyDescent="0.25">
      <c r="C31" s="53" t="s">
        <v>549</v>
      </c>
      <c r="D31" s="53"/>
      <c r="E31" s="442">
        <v>1.695E-2</v>
      </c>
      <c r="F31" s="29"/>
    </row>
    <row r="32" spans="1:6" x14ac:dyDescent="0.25">
      <c r="C32" s="54" t="s">
        <v>740</v>
      </c>
      <c r="D32" s="54"/>
      <c r="E32" s="443">
        <v>2834</v>
      </c>
      <c r="F32" s="29"/>
    </row>
    <row r="33" spans="1:6" x14ac:dyDescent="0.25">
      <c r="C33" s="29"/>
      <c r="D33" s="29"/>
      <c r="E33" s="29"/>
      <c r="F33" s="29"/>
    </row>
    <row r="34" spans="1:6" ht="15.75" thickBot="1" x14ac:dyDescent="0.3">
      <c r="C34" s="55" t="s">
        <v>741</v>
      </c>
      <c r="D34" s="55"/>
      <c r="E34" s="444">
        <v>48.036299999999997</v>
      </c>
      <c r="F34" s="53" t="s">
        <v>742</v>
      </c>
    </row>
    <row r="35" spans="1:6" ht="15.75" thickTop="1" x14ac:dyDescent="0.25">
      <c r="C35" s="445" t="s">
        <v>743</v>
      </c>
      <c r="D35"/>
      <c r="E35"/>
      <c r="F35"/>
    </row>
    <row r="37" spans="1:6" x14ac:dyDescent="0.25">
      <c r="A37" s="84" t="s">
        <v>15</v>
      </c>
      <c r="B37" s="84" t="s">
        <v>16</v>
      </c>
    </row>
    <row r="39" spans="1:6" x14ac:dyDescent="0.25">
      <c r="C39" s="53" t="s">
        <v>736</v>
      </c>
      <c r="D39" s="439">
        <v>19</v>
      </c>
      <c r="E39" s="440">
        <v>80000</v>
      </c>
      <c r="F39" s="29" t="s">
        <v>737</v>
      </c>
    </row>
    <row r="40" spans="1:6" x14ac:dyDescent="0.25">
      <c r="C40" s="53" t="s">
        <v>738</v>
      </c>
      <c r="D40" s="53"/>
      <c r="E40" s="441">
        <v>9</v>
      </c>
      <c r="F40" s="29" t="s">
        <v>739</v>
      </c>
    </row>
    <row r="41" spans="1:6" x14ac:dyDescent="0.25">
      <c r="C41" s="53" t="s">
        <v>549</v>
      </c>
      <c r="D41" s="53"/>
      <c r="E41" s="442">
        <v>1.695E-2</v>
      </c>
      <c r="F41" s="29"/>
    </row>
    <row r="42" spans="1:6" x14ac:dyDescent="0.25">
      <c r="C42" s="54" t="s">
        <v>740</v>
      </c>
      <c r="D42" s="54"/>
      <c r="E42" s="443">
        <v>2125.5</v>
      </c>
      <c r="F42" s="29"/>
    </row>
    <row r="43" spans="1:6" x14ac:dyDescent="0.25">
      <c r="C43" s="53" t="s">
        <v>744</v>
      </c>
      <c r="D43" s="29"/>
      <c r="E43" s="446">
        <v>36.03</v>
      </c>
      <c r="F43" s="53" t="s">
        <v>745</v>
      </c>
    </row>
    <row r="44" spans="1:6" ht="15.75" thickBot="1" x14ac:dyDescent="0.3">
      <c r="C44" s="55" t="s">
        <v>741</v>
      </c>
      <c r="D44" s="55"/>
      <c r="E44" s="444">
        <f>(E42*E41)-E43</f>
        <v>-2.7749999999997499E-3</v>
      </c>
      <c r="F44" s="53" t="s">
        <v>742</v>
      </c>
    </row>
    <row r="45" spans="1:6" ht="15.75" thickTop="1" x14ac:dyDescent="0.25">
      <c r="C45" s="445" t="s">
        <v>743</v>
      </c>
      <c r="D45"/>
      <c r="E45"/>
      <c r="F45"/>
    </row>
    <row r="47" spans="1:6" x14ac:dyDescent="0.25">
      <c r="A47" s="84" t="s">
        <v>17</v>
      </c>
      <c r="B47" s="84" t="s">
        <v>18</v>
      </c>
    </row>
    <row r="49" spans="1:15" x14ac:dyDescent="0.25">
      <c r="B49" s="86"/>
      <c r="C49" s="53" t="s">
        <v>736</v>
      </c>
      <c r="D49" s="439">
        <v>19</v>
      </c>
      <c r="E49" s="440">
        <v>74000</v>
      </c>
      <c r="F49" s="29" t="s">
        <v>737</v>
      </c>
      <c r="G49" s="86"/>
      <c r="H49" s="86"/>
      <c r="I49" s="86"/>
      <c r="J49" s="86"/>
      <c r="K49" s="86"/>
      <c r="L49" s="86"/>
      <c r="M49" s="86"/>
    </row>
    <row r="50" spans="1:15" x14ac:dyDescent="0.25">
      <c r="B50" s="86"/>
      <c r="C50" s="53" t="s">
        <v>738</v>
      </c>
      <c r="D50" s="53"/>
      <c r="E50" s="441">
        <v>7</v>
      </c>
      <c r="F50" s="29" t="s">
        <v>739</v>
      </c>
      <c r="G50" s="86"/>
      <c r="H50" s="86"/>
      <c r="I50" s="86"/>
      <c r="J50" s="86"/>
      <c r="K50" s="86"/>
      <c r="L50" s="86"/>
      <c r="M50" s="86"/>
    </row>
    <row r="51" spans="1:15" x14ac:dyDescent="0.25">
      <c r="B51" s="86"/>
      <c r="C51" s="53" t="s">
        <v>549</v>
      </c>
      <c r="D51" s="53"/>
      <c r="E51" s="442">
        <v>1.695E-2</v>
      </c>
      <c r="F51" s="29"/>
      <c r="G51" s="86"/>
      <c r="H51" s="86"/>
      <c r="I51" s="86"/>
      <c r="J51" s="86"/>
      <c r="K51" s="86"/>
      <c r="L51" s="86"/>
      <c r="M51" s="86"/>
    </row>
    <row r="52" spans="1:15" x14ac:dyDescent="0.25">
      <c r="C52" s="54" t="s">
        <v>740</v>
      </c>
      <c r="D52" s="54"/>
      <c r="E52" s="443">
        <v>1345.8083333333334</v>
      </c>
      <c r="F52" s="29"/>
    </row>
    <row r="53" spans="1:15" x14ac:dyDescent="0.25">
      <c r="C53" s="29"/>
      <c r="D53" s="29"/>
      <c r="E53" s="29"/>
      <c r="F53" s="29"/>
    </row>
    <row r="54" spans="1:15" ht="15.75" thickBot="1" x14ac:dyDescent="0.3">
      <c r="C54" s="55" t="s">
        <v>741</v>
      </c>
      <c r="D54" s="55"/>
      <c r="E54" s="444">
        <v>22.81</v>
      </c>
      <c r="F54" s="53" t="s">
        <v>742</v>
      </c>
    </row>
    <row r="55" spans="1:15" ht="15.75" thickTop="1" x14ac:dyDescent="0.25">
      <c r="C55" s="445" t="s">
        <v>743</v>
      </c>
      <c r="D55"/>
      <c r="E55"/>
      <c r="F55"/>
    </row>
    <row r="57" spans="1:15" x14ac:dyDescent="0.25">
      <c r="A57" s="84" t="s">
        <v>20</v>
      </c>
      <c r="B57" s="84" t="s">
        <v>21</v>
      </c>
    </row>
    <row r="59" spans="1:15" x14ac:dyDescent="0.25">
      <c r="C59" s="53" t="s">
        <v>736</v>
      </c>
      <c r="D59" s="439">
        <v>19</v>
      </c>
      <c r="E59" s="440">
        <v>80000</v>
      </c>
      <c r="F59" s="29" t="s">
        <v>737</v>
      </c>
    </row>
    <row r="60" spans="1:15" x14ac:dyDescent="0.25">
      <c r="C60" s="53" t="s">
        <v>738</v>
      </c>
      <c r="D60" s="53"/>
      <c r="E60" s="441">
        <v>6</v>
      </c>
      <c r="F60" s="29" t="s">
        <v>739</v>
      </c>
    </row>
    <row r="61" spans="1:15" x14ac:dyDescent="0.25">
      <c r="C61" s="53" t="s">
        <v>549</v>
      </c>
      <c r="D61" s="53"/>
      <c r="E61" s="442">
        <v>1.695E-2</v>
      </c>
      <c r="F61" s="29"/>
    </row>
    <row r="62" spans="1:15" x14ac:dyDescent="0.25">
      <c r="C62" s="54" t="s">
        <v>740</v>
      </c>
      <c r="D62" s="54"/>
      <c r="E62" s="443">
        <v>1417</v>
      </c>
      <c r="F62" s="29"/>
      <c r="O62" s="420"/>
    </row>
    <row r="63" spans="1:15" x14ac:dyDescent="0.25">
      <c r="C63" s="29"/>
      <c r="D63" s="29"/>
      <c r="E63" s="29">
        <v>19.55</v>
      </c>
      <c r="F63" s="53" t="s">
        <v>746</v>
      </c>
    </row>
    <row r="64" spans="1:15" ht="15.75" thickBot="1" x14ac:dyDescent="0.3">
      <c r="C64" s="55" t="s">
        <v>741</v>
      </c>
      <c r="D64" s="55"/>
      <c r="E64" s="444">
        <v>4.47</v>
      </c>
      <c r="F64" s="53" t="s">
        <v>742</v>
      </c>
    </row>
    <row r="65" spans="1:13" ht="15.75" thickTop="1" x14ac:dyDescent="0.25">
      <c r="B65" s="86"/>
      <c r="C65" s="86"/>
      <c r="D65" s="86"/>
      <c r="E65" s="86"/>
      <c r="F65" s="86"/>
      <c r="G65" s="86"/>
      <c r="H65" s="86"/>
      <c r="I65" s="86"/>
      <c r="J65" s="86"/>
      <c r="K65" s="86"/>
      <c r="L65" s="86"/>
      <c r="M65" s="86"/>
    </row>
    <row r="66" spans="1:13" x14ac:dyDescent="0.25">
      <c r="B66" s="86"/>
      <c r="C66" s="86"/>
      <c r="D66" s="86"/>
      <c r="E66" s="86"/>
      <c r="F66" s="86"/>
      <c r="G66" s="86"/>
      <c r="H66" s="86"/>
      <c r="I66" s="86"/>
      <c r="J66" s="86"/>
      <c r="K66" s="86"/>
      <c r="L66" s="86"/>
      <c r="M66" s="86"/>
    </row>
    <row r="67" spans="1:13" x14ac:dyDescent="0.25">
      <c r="A67" s="84" t="s">
        <v>22</v>
      </c>
      <c r="B67" s="84" t="s">
        <v>23</v>
      </c>
    </row>
    <row r="68" spans="1:13" ht="40.5" customHeight="1" x14ac:dyDescent="0.25">
      <c r="B68" s="459" t="s">
        <v>24</v>
      </c>
      <c r="C68" s="459"/>
      <c r="D68" s="459"/>
      <c r="E68" s="459"/>
      <c r="F68" s="459"/>
      <c r="G68" s="459"/>
      <c r="H68" s="459"/>
      <c r="I68" s="459"/>
      <c r="J68" s="459"/>
      <c r="K68" s="459"/>
      <c r="L68" s="86"/>
      <c r="M68" s="86"/>
    </row>
    <row r="69" spans="1:13" x14ac:dyDescent="0.25">
      <c r="B69" s="88"/>
      <c r="C69" s="88"/>
      <c r="D69" s="88"/>
      <c r="E69" s="88"/>
      <c r="F69" s="88"/>
      <c r="G69" s="88"/>
      <c r="H69" s="88"/>
      <c r="I69" s="88"/>
      <c r="J69" s="88"/>
      <c r="K69" s="88"/>
      <c r="L69" s="86"/>
      <c r="M69" s="86"/>
    </row>
    <row r="70" spans="1:13" x14ac:dyDescent="0.25">
      <c r="B70" s="88"/>
      <c r="C70" s="53" t="s">
        <v>736</v>
      </c>
      <c r="D70" s="439">
        <v>19</v>
      </c>
      <c r="E70" s="440">
        <v>38000</v>
      </c>
      <c r="F70" s="29" t="s">
        <v>1615</v>
      </c>
      <c r="G70" s="88"/>
      <c r="H70" s="88"/>
      <c r="I70" s="88"/>
      <c r="J70" s="88"/>
      <c r="K70" s="88"/>
      <c r="L70" s="86"/>
      <c r="M70" s="86"/>
    </row>
    <row r="71" spans="1:13" x14ac:dyDescent="0.25">
      <c r="C71" s="53" t="s">
        <v>738</v>
      </c>
      <c r="D71" s="53"/>
      <c r="E71" s="441">
        <v>12</v>
      </c>
      <c r="F71" s="29" t="s">
        <v>739</v>
      </c>
    </row>
    <row r="72" spans="1:13" x14ac:dyDescent="0.25">
      <c r="C72" s="53" t="s">
        <v>549</v>
      </c>
      <c r="D72" s="53"/>
      <c r="E72" s="442">
        <v>1.695E-2</v>
      </c>
      <c r="F72" s="29"/>
    </row>
    <row r="73" spans="1:13" x14ac:dyDescent="0.25">
      <c r="C73" s="54" t="s">
        <v>740</v>
      </c>
      <c r="D73" s="54"/>
      <c r="E73" s="443">
        <v>849.2</v>
      </c>
      <c r="F73" s="29"/>
    </row>
    <row r="74" spans="1:13" x14ac:dyDescent="0.25">
      <c r="C74" s="29"/>
      <c r="D74" s="29"/>
      <c r="E74" s="29"/>
      <c r="F74" s="29"/>
    </row>
    <row r="75" spans="1:13" ht="15.75" thickBot="1" x14ac:dyDescent="0.3">
      <c r="C75" s="55" t="s">
        <v>741</v>
      </c>
      <c r="D75" s="55"/>
      <c r="E75" s="444">
        <v>14.393940000000001</v>
      </c>
      <c r="F75" s="53" t="s">
        <v>742</v>
      </c>
    </row>
    <row r="76" spans="1:13" ht="15.75" thickTop="1" x14ac:dyDescent="0.25">
      <c r="C76" s="445" t="s">
        <v>743</v>
      </c>
      <c r="D76"/>
      <c r="E76"/>
      <c r="F76"/>
    </row>
    <row r="78" spans="1:13" x14ac:dyDescent="0.25">
      <c r="B78" s="86"/>
      <c r="C78" s="86"/>
      <c r="D78" s="86"/>
      <c r="E78" s="86"/>
      <c r="F78" s="86"/>
      <c r="G78" s="86"/>
      <c r="H78" s="86"/>
      <c r="I78" s="86"/>
      <c r="J78" s="86"/>
      <c r="K78" s="86"/>
      <c r="L78" s="86"/>
      <c r="M78" s="86"/>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sheetData>
  <mergeCells count="3">
    <mergeCell ref="B68:K68"/>
    <mergeCell ref="A1:I1"/>
    <mergeCell ref="A3:K6"/>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4FE5A-5AB0-4128-99AF-3A24BA904320}">
  <dimension ref="A1:M81"/>
  <sheetViews>
    <sheetView workbookViewId="0">
      <selection sqref="A1:XFD1048576"/>
    </sheetView>
  </sheetViews>
  <sheetFormatPr defaultRowHeight="15" x14ac:dyDescent="0.25"/>
  <cols>
    <col min="1" max="4" width="9.140625" style="84"/>
    <col min="5" max="6" width="9.85546875" style="84" bestFit="1" customWidth="1"/>
    <col min="7" max="16384" width="9.140625" style="84"/>
  </cols>
  <sheetData>
    <row r="1" spans="1:13" ht="21" x14ac:dyDescent="0.35">
      <c r="A1" s="457" t="s">
        <v>1648</v>
      </c>
      <c r="B1" s="457"/>
      <c r="C1" s="457"/>
      <c r="D1" s="457"/>
      <c r="E1" s="457"/>
      <c r="F1" s="457"/>
      <c r="G1" s="457"/>
      <c r="H1" s="457"/>
      <c r="I1" s="457"/>
    </row>
    <row r="2" spans="1:13" ht="21" x14ac:dyDescent="0.35">
      <c r="A2" s="83"/>
      <c r="B2" s="83"/>
      <c r="C2" s="83"/>
      <c r="D2" s="83"/>
      <c r="E2" s="83"/>
      <c r="F2" s="83"/>
      <c r="G2" s="83"/>
      <c r="H2" s="83"/>
      <c r="I2" s="83"/>
    </row>
    <row r="3" spans="1:13" ht="15" customHeight="1" x14ac:dyDescent="0.25">
      <c r="A3" s="458" t="s">
        <v>1068</v>
      </c>
      <c r="B3" s="458"/>
      <c r="C3" s="458"/>
      <c r="D3" s="458"/>
      <c r="E3" s="458"/>
      <c r="F3" s="458"/>
      <c r="G3" s="458"/>
      <c r="H3" s="458"/>
      <c r="I3" s="458"/>
      <c r="J3" s="458"/>
      <c r="K3" s="458"/>
      <c r="L3" s="85"/>
      <c r="M3" s="85"/>
    </row>
    <row r="4" spans="1:13" x14ac:dyDescent="0.25">
      <c r="A4" s="458"/>
      <c r="B4" s="458"/>
      <c r="C4" s="458"/>
      <c r="D4" s="458"/>
      <c r="E4" s="458"/>
      <c r="F4" s="458"/>
      <c r="G4" s="458"/>
      <c r="H4" s="458"/>
      <c r="I4" s="458"/>
      <c r="J4" s="458"/>
      <c r="K4" s="458"/>
      <c r="L4" s="85"/>
      <c r="M4" s="85"/>
    </row>
    <row r="5" spans="1:13" x14ac:dyDescent="0.25">
      <c r="A5" s="458"/>
      <c r="B5" s="458"/>
      <c r="C5" s="458"/>
      <c r="D5" s="458"/>
      <c r="E5" s="458"/>
      <c r="F5" s="458"/>
      <c r="G5" s="458"/>
      <c r="H5" s="458"/>
      <c r="I5" s="458"/>
      <c r="J5" s="458"/>
      <c r="K5" s="458"/>
      <c r="L5" s="85"/>
      <c r="M5" s="85"/>
    </row>
    <row r="6" spans="1:13" x14ac:dyDescent="0.25">
      <c r="A6" s="458"/>
      <c r="B6" s="458"/>
      <c r="C6" s="458"/>
      <c r="D6" s="458"/>
      <c r="E6" s="458"/>
      <c r="F6" s="458"/>
      <c r="G6" s="458"/>
      <c r="H6" s="458"/>
      <c r="I6" s="458"/>
      <c r="J6" s="458"/>
      <c r="K6" s="458"/>
      <c r="L6" s="85"/>
      <c r="M6" s="85"/>
    </row>
    <row r="9" spans="1:13" x14ac:dyDescent="0.25">
      <c r="B9" s="86" t="s">
        <v>2</v>
      </c>
      <c r="C9" s="86" t="s">
        <v>3</v>
      </c>
      <c r="D9" s="86"/>
      <c r="E9" s="86"/>
      <c r="F9" s="86"/>
      <c r="G9" s="86"/>
      <c r="H9" s="86"/>
    </row>
    <row r="10" spans="1:13" x14ac:dyDescent="0.25">
      <c r="B10" s="86"/>
      <c r="C10" s="86" t="s">
        <v>4</v>
      </c>
      <c r="D10" s="86"/>
      <c r="E10" s="86"/>
      <c r="F10" s="86"/>
      <c r="G10" s="86"/>
      <c r="H10" s="86"/>
    </row>
    <row r="11" spans="1:13" x14ac:dyDescent="0.25">
      <c r="B11" s="86" t="s">
        <v>5</v>
      </c>
      <c r="C11" s="86" t="s">
        <v>6</v>
      </c>
      <c r="D11" s="86"/>
      <c r="E11" s="86"/>
      <c r="F11" s="86"/>
      <c r="G11" s="86"/>
      <c r="H11" s="86"/>
    </row>
    <row r="12" spans="1:13" x14ac:dyDescent="0.25">
      <c r="B12" s="86"/>
      <c r="C12" s="86" t="s">
        <v>7</v>
      </c>
      <c r="D12" s="86"/>
      <c r="E12" s="86"/>
      <c r="F12" s="86"/>
      <c r="G12" s="86"/>
      <c r="H12" s="86"/>
    </row>
    <row r="13" spans="1:13" x14ac:dyDescent="0.25">
      <c r="B13" s="86"/>
      <c r="C13" s="86" t="s">
        <v>8</v>
      </c>
      <c r="D13" s="86"/>
      <c r="E13" s="86"/>
      <c r="F13" s="86"/>
      <c r="G13" s="86"/>
      <c r="H13" s="86"/>
    </row>
    <row r="14" spans="1:13" x14ac:dyDescent="0.25">
      <c r="B14" s="86"/>
      <c r="C14" s="86" t="s">
        <v>9</v>
      </c>
      <c r="D14" s="86"/>
      <c r="E14" s="86"/>
      <c r="F14" s="86"/>
      <c r="G14" s="86"/>
      <c r="H14" s="86"/>
    </row>
    <row r="17" spans="1:5" x14ac:dyDescent="0.25">
      <c r="A17" s="84" t="s">
        <v>10</v>
      </c>
      <c r="B17" s="84" t="s">
        <v>11</v>
      </c>
    </row>
    <row r="19" spans="1:5" x14ac:dyDescent="0.25">
      <c r="C19" t="s">
        <v>178</v>
      </c>
      <c r="D19"/>
      <c r="E19" s="242">
        <v>907.5</v>
      </c>
    </row>
    <row r="20" spans="1:5" x14ac:dyDescent="0.25">
      <c r="C20" t="s">
        <v>747</v>
      </c>
      <c r="D20" s="447" t="s">
        <v>79</v>
      </c>
      <c r="E20" s="242">
        <v>1540</v>
      </c>
    </row>
    <row r="21" spans="1:5" x14ac:dyDescent="0.25">
      <c r="C21" t="s">
        <v>748</v>
      </c>
      <c r="D21" s="447" t="s">
        <v>749</v>
      </c>
      <c r="E21" s="242">
        <f>SUM(E19:E20)</f>
        <v>2447.5</v>
      </c>
    </row>
    <row r="22" spans="1:5" x14ac:dyDescent="0.25">
      <c r="C22" t="s">
        <v>197</v>
      </c>
      <c r="D22"/>
      <c r="E22" s="417">
        <v>1.695E-2</v>
      </c>
    </row>
    <row r="23" spans="1:5" x14ac:dyDescent="0.25">
      <c r="C23" t="s">
        <v>635</v>
      </c>
      <c r="D23"/>
      <c r="E23" s="251">
        <f>E21*E22</f>
        <v>41.485124999999996</v>
      </c>
    </row>
    <row r="27" spans="1:5" x14ac:dyDescent="0.25">
      <c r="A27" s="84" t="s">
        <v>12</v>
      </c>
      <c r="B27" s="84" t="s">
        <v>13</v>
      </c>
    </row>
    <row r="29" spans="1:5" x14ac:dyDescent="0.25">
      <c r="C29" t="s">
        <v>178</v>
      </c>
      <c r="D29"/>
      <c r="E29" s="242">
        <v>907.5</v>
      </c>
    </row>
    <row r="30" spans="1:5" x14ac:dyDescent="0.25">
      <c r="C30" t="s">
        <v>747</v>
      </c>
      <c r="D30" s="447" t="s">
        <v>79</v>
      </c>
      <c r="E30" s="242">
        <v>1540</v>
      </c>
    </row>
    <row r="31" spans="1:5" x14ac:dyDescent="0.25">
      <c r="C31" t="s">
        <v>748</v>
      </c>
      <c r="D31" s="447" t="s">
        <v>749</v>
      </c>
      <c r="E31" s="242">
        <f>SUM(E29:E30)</f>
        <v>2447.5</v>
      </c>
    </row>
    <row r="32" spans="1:5" x14ac:dyDescent="0.25">
      <c r="C32" t="s">
        <v>197</v>
      </c>
      <c r="D32"/>
      <c r="E32" s="417">
        <v>1.695E-2</v>
      </c>
    </row>
    <row r="33" spans="1:7" x14ac:dyDescent="0.25">
      <c r="C33" t="s">
        <v>635</v>
      </c>
      <c r="D33"/>
      <c r="E33" s="251">
        <f>E31*E32</f>
        <v>41.485124999999996</v>
      </c>
    </row>
    <row r="37" spans="1:7" x14ac:dyDescent="0.25">
      <c r="A37" s="84" t="s">
        <v>15</v>
      </c>
      <c r="B37" s="84" t="s">
        <v>16</v>
      </c>
    </row>
    <row r="39" spans="1:7" x14ac:dyDescent="0.25">
      <c r="C39"/>
      <c r="D39"/>
      <c r="E39" t="s">
        <v>191</v>
      </c>
      <c r="F39" t="s">
        <v>190</v>
      </c>
      <c r="G39"/>
    </row>
    <row r="40" spans="1:7" x14ac:dyDescent="0.25">
      <c r="C40" t="s">
        <v>178</v>
      </c>
      <c r="D40"/>
      <c r="E40" s="242">
        <v>907.5</v>
      </c>
      <c r="F40" s="68">
        <v>907.5</v>
      </c>
      <c r="G40"/>
    </row>
    <row r="41" spans="1:7" x14ac:dyDescent="0.25">
      <c r="C41" t="s">
        <v>747</v>
      </c>
      <c r="D41"/>
      <c r="E41" s="242">
        <v>1540</v>
      </c>
      <c r="F41" s="68">
        <v>1540</v>
      </c>
      <c r="G41"/>
    </row>
    <row r="42" spans="1:7" x14ac:dyDescent="0.25">
      <c r="C42" t="s">
        <v>748</v>
      </c>
      <c r="D42"/>
      <c r="E42" s="242">
        <f>SUM(E40:E41)</f>
        <v>2447.5</v>
      </c>
      <c r="F42" s="68">
        <v>2447.5</v>
      </c>
      <c r="G42"/>
    </row>
    <row r="43" spans="1:7" x14ac:dyDescent="0.25">
      <c r="C43" t="s">
        <v>750</v>
      </c>
      <c r="D43"/>
      <c r="E43" s="242">
        <f>E42*(9/12)</f>
        <v>1835.625</v>
      </c>
      <c r="F43" s="242">
        <f>F42*(9/12)</f>
        <v>1835.625</v>
      </c>
      <c r="G43"/>
    </row>
    <row r="44" spans="1:7" x14ac:dyDescent="0.25">
      <c r="C44" t="s">
        <v>197</v>
      </c>
      <c r="D44"/>
      <c r="E44" s="417">
        <v>1.695E-2</v>
      </c>
      <c r="F44" s="417">
        <v>1.695E-2</v>
      </c>
      <c r="G44"/>
    </row>
    <row r="45" spans="1:7" x14ac:dyDescent="0.25">
      <c r="C45" t="s">
        <v>635</v>
      </c>
      <c r="D45"/>
      <c r="E45" s="242">
        <f>E44*E43</f>
        <v>31.113843750000001</v>
      </c>
      <c r="F45" s="68">
        <v>31.11</v>
      </c>
      <c r="G45" s="70">
        <f>E45-F45</f>
        <v>3.8437500000014779E-3</v>
      </c>
    </row>
    <row r="47" spans="1:7" x14ac:dyDescent="0.25">
      <c r="C47"/>
      <c r="D47"/>
      <c r="E47" s="242"/>
      <c r="F47" s="68"/>
      <c r="G47" s="70"/>
    </row>
    <row r="48" spans="1:7" x14ac:dyDescent="0.25">
      <c r="A48" s="84" t="s">
        <v>17</v>
      </c>
      <c r="B48" s="84" t="s">
        <v>18</v>
      </c>
    </row>
    <row r="50" spans="1:13" x14ac:dyDescent="0.25">
      <c r="B50" s="86"/>
      <c r="C50" t="s">
        <v>178</v>
      </c>
      <c r="D50" s="1"/>
      <c r="E50" s="242">
        <v>825</v>
      </c>
      <c r="F50" s="86"/>
      <c r="G50" s="86"/>
      <c r="H50" s="86"/>
      <c r="I50" s="86"/>
      <c r="J50" s="86"/>
      <c r="K50" s="86"/>
      <c r="L50" s="86"/>
      <c r="M50" s="86"/>
    </row>
    <row r="51" spans="1:13" x14ac:dyDescent="0.25">
      <c r="B51" s="86"/>
      <c r="C51" t="s">
        <v>747</v>
      </c>
      <c r="D51" s="1"/>
      <c r="E51" s="242">
        <v>1375</v>
      </c>
      <c r="F51" s="86"/>
      <c r="G51" s="86"/>
      <c r="H51" s="86"/>
      <c r="I51" s="86"/>
      <c r="J51" s="86"/>
      <c r="K51" s="86"/>
      <c r="L51" s="86"/>
      <c r="M51" s="86"/>
    </row>
    <row r="52" spans="1:13" x14ac:dyDescent="0.25">
      <c r="B52" s="86"/>
      <c r="C52" t="s">
        <v>748</v>
      </c>
      <c r="D52" s="1"/>
      <c r="E52" s="242">
        <f>SUM(E50:E51)</f>
        <v>2200</v>
      </c>
      <c r="F52" s="86"/>
      <c r="G52" s="86"/>
      <c r="H52" s="86"/>
      <c r="I52" s="86"/>
      <c r="J52" s="86"/>
      <c r="K52" s="86"/>
      <c r="L52" s="86"/>
      <c r="M52" s="86"/>
    </row>
    <row r="53" spans="1:13" x14ac:dyDescent="0.25">
      <c r="C53" t="s">
        <v>751</v>
      </c>
      <c r="D53" s="1"/>
      <c r="E53" s="242">
        <f>(E52/12)*7</f>
        <v>1283.3333333333335</v>
      </c>
    </row>
    <row r="54" spans="1:13" x14ac:dyDescent="0.25">
      <c r="C54" t="s">
        <v>197</v>
      </c>
      <c r="D54"/>
      <c r="E54" s="417">
        <v>1.695E-2</v>
      </c>
    </row>
    <row r="55" spans="1:13" x14ac:dyDescent="0.25">
      <c r="C55" t="s">
        <v>635</v>
      </c>
      <c r="D55"/>
      <c r="E55" s="251">
        <f>E53*E54</f>
        <v>21.752500000000001</v>
      </c>
    </row>
    <row r="58" spans="1:13" x14ac:dyDescent="0.25">
      <c r="A58" s="84" t="s">
        <v>20</v>
      </c>
      <c r="B58" s="84" t="s">
        <v>21</v>
      </c>
    </row>
    <row r="60" spans="1:13" x14ac:dyDescent="0.25">
      <c r="C60"/>
      <c r="D60"/>
      <c r="E60" t="s">
        <v>752</v>
      </c>
      <c r="F60" t="s">
        <v>753</v>
      </c>
      <c r="G60"/>
    </row>
    <row r="61" spans="1:13" x14ac:dyDescent="0.25">
      <c r="C61" t="s">
        <v>178</v>
      </c>
      <c r="D61"/>
      <c r="E61" s="242">
        <v>825</v>
      </c>
      <c r="F61" s="242">
        <v>907.5</v>
      </c>
      <c r="G61"/>
    </row>
    <row r="62" spans="1:13" x14ac:dyDescent="0.25">
      <c r="C62" t="s">
        <v>747</v>
      </c>
      <c r="D62"/>
      <c r="E62" s="242">
        <v>1375</v>
      </c>
      <c r="F62" s="242">
        <v>1540</v>
      </c>
      <c r="G62"/>
    </row>
    <row r="63" spans="1:13" x14ac:dyDescent="0.25">
      <c r="C63" t="s">
        <v>748</v>
      </c>
      <c r="D63"/>
      <c r="E63" s="242">
        <f>SUM(E61:E62)</f>
        <v>2200</v>
      </c>
      <c r="F63" s="242">
        <v>2447.5</v>
      </c>
      <c r="G63"/>
    </row>
    <row r="64" spans="1:13" x14ac:dyDescent="0.25">
      <c r="C64" t="s">
        <v>754</v>
      </c>
      <c r="D64"/>
      <c r="E64" s="242">
        <f>(E63/12)*6</f>
        <v>1100</v>
      </c>
      <c r="F64" s="242">
        <v>1223.75</v>
      </c>
      <c r="G64"/>
    </row>
    <row r="65" spans="1:13" x14ac:dyDescent="0.25">
      <c r="B65" s="86"/>
      <c r="C65" t="s">
        <v>197</v>
      </c>
      <c r="D65"/>
      <c r="E65" s="417">
        <v>1.695E-2</v>
      </c>
      <c r="F65" s="417">
        <v>1.695E-2</v>
      </c>
      <c r="G65"/>
      <c r="H65" s="86"/>
      <c r="I65" s="86"/>
      <c r="J65" s="86"/>
      <c r="K65" s="86"/>
      <c r="L65" s="86"/>
      <c r="M65" s="86"/>
    </row>
    <row r="66" spans="1:13" x14ac:dyDescent="0.25">
      <c r="B66" s="86"/>
      <c r="C66" t="s">
        <v>635</v>
      </c>
      <c r="D66"/>
      <c r="E66" s="242">
        <v>18.649999999999999</v>
      </c>
      <c r="F66" s="242">
        <v>20.74</v>
      </c>
      <c r="G66" s="70">
        <f>F66-E66</f>
        <v>2.09</v>
      </c>
      <c r="H66" s="86"/>
      <c r="I66" s="86"/>
      <c r="J66" s="86"/>
      <c r="K66" s="86"/>
      <c r="L66" s="86"/>
      <c r="M66" s="86"/>
    </row>
    <row r="67" spans="1:13" x14ac:dyDescent="0.25">
      <c r="B67" s="86"/>
      <c r="C67"/>
      <c r="D67"/>
      <c r="E67" s="242"/>
      <c r="F67" s="242"/>
      <c r="G67" s="70"/>
      <c r="H67" s="86"/>
      <c r="I67" s="86"/>
      <c r="J67" s="86"/>
      <c r="K67" s="86"/>
      <c r="L67" s="86"/>
      <c r="M67" s="86"/>
    </row>
    <row r="68" spans="1:13" x14ac:dyDescent="0.25">
      <c r="A68" s="84" t="s">
        <v>22</v>
      </c>
      <c r="B68" s="84" t="s">
        <v>23</v>
      </c>
    </row>
    <row r="69" spans="1:13" ht="40.5" customHeight="1" x14ac:dyDescent="0.25">
      <c r="B69" s="459" t="s">
        <v>24</v>
      </c>
      <c r="C69" s="459"/>
      <c r="D69" s="459"/>
      <c r="E69" s="459"/>
      <c r="F69" s="459"/>
      <c r="G69" s="459"/>
      <c r="H69" s="459"/>
      <c r="I69" s="459"/>
      <c r="J69" s="459"/>
      <c r="K69" s="459"/>
      <c r="L69" s="86"/>
      <c r="M69" s="86"/>
    </row>
    <row r="70" spans="1:13" x14ac:dyDescent="0.25">
      <c r="B70" s="88"/>
      <c r="C70" s="88"/>
      <c r="D70" s="88"/>
      <c r="E70" s="88"/>
      <c r="F70" s="88"/>
      <c r="G70" s="88"/>
      <c r="H70" s="88"/>
      <c r="I70" s="88"/>
      <c r="J70" s="88"/>
      <c r="K70" s="88"/>
      <c r="L70" s="86"/>
      <c r="M70" s="86"/>
    </row>
    <row r="71" spans="1:13" x14ac:dyDescent="0.25">
      <c r="B71" s="88"/>
      <c r="C71" s="448" t="s">
        <v>755</v>
      </c>
      <c r="D71" s="2"/>
      <c r="E71" s="2"/>
      <c r="F71" s="88"/>
      <c r="G71" s="88"/>
      <c r="H71" s="88"/>
      <c r="I71" s="88"/>
      <c r="J71" s="88"/>
      <c r="K71" s="88"/>
      <c r="L71" s="86"/>
      <c r="M71" s="86"/>
    </row>
    <row r="72" spans="1:13" x14ac:dyDescent="0.25">
      <c r="C72" t="s">
        <v>178</v>
      </c>
      <c r="D72" s="2"/>
      <c r="E72" s="242">
        <v>330</v>
      </c>
    </row>
    <row r="73" spans="1:13" x14ac:dyDescent="0.25">
      <c r="C73" t="s">
        <v>747</v>
      </c>
      <c r="D73"/>
      <c r="E73" s="242">
        <v>385</v>
      </c>
    </row>
    <row r="74" spans="1:13" x14ac:dyDescent="0.25">
      <c r="C74" t="s">
        <v>748</v>
      </c>
      <c r="D74"/>
      <c r="E74" s="242">
        <f>SUM(E72:E73)</f>
        <v>715</v>
      </c>
    </row>
    <row r="75" spans="1:13" x14ac:dyDescent="0.25">
      <c r="C75" t="s">
        <v>197</v>
      </c>
      <c r="D75"/>
      <c r="E75" s="417">
        <v>1.695E-2</v>
      </c>
    </row>
    <row r="76" spans="1:13" x14ac:dyDescent="0.25">
      <c r="C76" t="s">
        <v>635</v>
      </c>
      <c r="D76"/>
      <c r="E76" s="251">
        <f>E74*E75</f>
        <v>12.119249999999999</v>
      </c>
    </row>
    <row r="79" spans="1:13" x14ac:dyDescent="0.25">
      <c r="B79" s="86"/>
      <c r="C79" s="86"/>
      <c r="D79" s="86"/>
      <c r="E79" s="86"/>
      <c r="F79" s="86"/>
      <c r="G79" s="86"/>
      <c r="H79" s="86"/>
      <c r="I79" s="86"/>
      <c r="J79" s="86"/>
      <c r="K79" s="86"/>
      <c r="L79" s="86"/>
      <c r="M79" s="86"/>
    </row>
    <row r="80" spans="1:13" x14ac:dyDescent="0.25">
      <c r="B80" s="86"/>
      <c r="C80" s="86"/>
      <c r="D80" s="86"/>
      <c r="E80" s="86"/>
      <c r="F80" s="86"/>
      <c r="G80" s="86"/>
      <c r="H80" s="86"/>
      <c r="I80" s="86"/>
      <c r="J80" s="86"/>
      <c r="K80" s="86"/>
      <c r="L80" s="86"/>
      <c r="M80" s="86"/>
    </row>
    <row r="81" spans="2:13" x14ac:dyDescent="0.25">
      <c r="B81" s="86"/>
      <c r="C81" s="86"/>
      <c r="D81" s="86"/>
      <c r="E81" s="86"/>
      <c r="F81" s="86"/>
      <c r="G81" s="86"/>
      <c r="H81" s="86"/>
      <c r="I81" s="86"/>
      <c r="J81" s="86"/>
      <c r="K81" s="86"/>
      <c r="L81" s="86"/>
      <c r="M81" s="86"/>
    </row>
  </sheetData>
  <mergeCells count="3">
    <mergeCell ref="A1:I1"/>
    <mergeCell ref="A3:K6"/>
    <mergeCell ref="B69:K6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e392b7-c2bc-4e20-b341-696d24015583">
      <Terms xmlns="http://schemas.microsoft.com/office/infopath/2007/PartnerControls"/>
    </lcf76f155ced4ddcb4097134ff3c332f>
    <TaxCatchAll xmlns="102a0760-c0e0-4099-a42f-57ea2f166f7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B9177F182B7F240B864C85A633545C1" ma:contentTypeVersion="16" ma:contentTypeDescription="Create a new document." ma:contentTypeScope="" ma:versionID="c2e02115c5c41942b273814b785fd143">
  <xsd:schema xmlns:xsd="http://www.w3.org/2001/XMLSchema" xmlns:xs="http://www.w3.org/2001/XMLSchema" xmlns:p="http://schemas.microsoft.com/office/2006/metadata/properties" xmlns:ns2="e4e392b7-c2bc-4e20-b341-696d24015583" xmlns:ns3="102a0760-c0e0-4099-a42f-57ea2f166f7e" targetNamespace="http://schemas.microsoft.com/office/2006/metadata/properties" ma:root="true" ma:fieldsID="6b16bc1fb14722ca9894374eb04d3e5a" ns2:_="" ns3:_="">
    <xsd:import namespace="e4e392b7-c2bc-4e20-b341-696d24015583"/>
    <xsd:import namespace="102a0760-c0e0-4099-a42f-57ea2f166f7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392b7-c2bc-4e20-b341-696d240155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1a16bd2-9f34-4951-85e4-6f8a77c2e5f6"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2a0760-c0e0-4099-a42f-57ea2f166f7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fa18ef-0ceb-40ea-a51c-1111a34e10cd}" ma:internalName="TaxCatchAll" ma:showField="CatchAllData" ma:web="102a0760-c0e0-4099-a42f-57ea2f166f7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B380C3-6A82-446A-8F65-8C87A37084AE}">
  <ds:schemaRefs>
    <ds:schemaRef ds:uri="http://schemas.microsoft.com/sharepoint/v3/contenttype/forms"/>
  </ds:schemaRefs>
</ds:datastoreItem>
</file>

<file path=customXml/itemProps2.xml><?xml version="1.0" encoding="utf-8"?>
<ds:datastoreItem xmlns:ds="http://schemas.openxmlformats.org/officeDocument/2006/customXml" ds:itemID="{5736E419-BD0C-46C2-8DAF-7348891FC79F}">
  <ds:schemaRefs>
    <ds:schemaRef ds:uri="http://schemas.microsoft.com/office/2006/metadata/properties"/>
    <ds:schemaRef ds:uri="http://schemas.microsoft.com/office/infopath/2007/PartnerControls"/>
    <ds:schemaRef ds:uri="e4e392b7-c2bc-4e20-b341-696d24015583"/>
    <ds:schemaRef ds:uri="102a0760-c0e0-4099-a42f-57ea2f166f7e"/>
  </ds:schemaRefs>
</ds:datastoreItem>
</file>

<file path=customXml/itemProps3.xml><?xml version="1.0" encoding="utf-8"?>
<ds:datastoreItem xmlns:ds="http://schemas.openxmlformats.org/officeDocument/2006/customXml" ds:itemID="{0CABD883-4F91-4683-A3AB-01A0B2448C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e392b7-c2bc-4e20-b341-696d24015583"/>
    <ds:schemaRef ds:uri="102a0760-c0e0-4099-a42f-57ea2f166f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Alabama</vt:lpstr>
      <vt:lpstr>Alberta</vt:lpstr>
      <vt:lpstr>Arizona</vt:lpstr>
      <vt:lpstr>Arkansas</vt:lpstr>
      <vt:lpstr>BritishColumbia</vt:lpstr>
      <vt:lpstr>California</vt:lpstr>
      <vt:lpstr>Colorado</vt:lpstr>
      <vt:lpstr>Connecticut</vt:lpstr>
      <vt:lpstr>Delaware</vt:lpstr>
      <vt:lpstr>D.C.</vt:lpstr>
      <vt:lpstr>Florida</vt:lpstr>
      <vt:lpstr>Georgia</vt:lpstr>
      <vt:lpstr>Idaho</vt:lpstr>
      <vt:lpstr>Illinois</vt:lpstr>
      <vt:lpstr>Indiana</vt:lpstr>
      <vt:lpstr>Iowa</vt:lpstr>
      <vt:lpstr>Kansas</vt:lpstr>
      <vt:lpstr>Kentucky</vt:lpstr>
      <vt:lpstr>Louisiana</vt:lpstr>
      <vt:lpstr>Maine</vt:lpstr>
      <vt:lpstr>Manitoba</vt:lpstr>
      <vt:lpstr>Maryland</vt:lpstr>
      <vt:lpstr>Massachusetts</vt:lpstr>
      <vt:lpstr>Michigan</vt:lpstr>
      <vt:lpstr>Minnesota</vt:lpstr>
      <vt:lpstr>Mississippi</vt:lpstr>
      <vt:lpstr>Missouri</vt:lpstr>
      <vt:lpstr>Montana</vt:lpstr>
      <vt:lpstr>Nebraska</vt:lpstr>
      <vt:lpstr>Nevada</vt:lpstr>
      <vt:lpstr>NewBrunswick</vt:lpstr>
      <vt:lpstr>NewHampshire</vt:lpstr>
      <vt:lpstr>NewJersey</vt:lpstr>
      <vt:lpstr>New Mexico</vt:lpstr>
      <vt:lpstr>NewYork</vt:lpstr>
      <vt:lpstr>NewfoundlandLabrador</vt:lpstr>
      <vt:lpstr>NorthCarolina</vt:lpstr>
      <vt:lpstr>NorthDakota</vt:lpstr>
      <vt:lpstr>NovaScotia</vt:lpstr>
      <vt:lpstr>Ohio</vt:lpstr>
      <vt:lpstr>Oklahoma</vt:lpstr>
      <vt:lpstr>Ontario</vt:lpstr>
      <vt:lpstr>Oregon</vt:lpstr>
      <vt:lpstr>Pennsylvania</vt:lpstr>
      <vt:lpstr>PrinceEdward</vt:lpstr>
      <vt:lpstr>Quebec</vt:lpstr>
      <vt:lpstr>RhodeIsland</vt:lpstr>
      <vt:lpstr>Saskatchewan</vt:lpstr>
      <vt:lpstr>SouthCarolina</vt:lpstr>
      <vt:lpstr>SouthDakota</vt:lpstr>
      <vt:lpstr>Tennessee</vt:lpstr>
      <vt:lpstr>Texas</vt:lpstr>
      <vt:lpstr>Utah</vt:lpstr>
      <vt:lpstr>Vermont</vt:lpstr>
      <vt:lpstr>Virginia</vt:lpstr>
      <vt:lpstr>Washington</vt:lpstr>
      <vt:lpstr>West Virginia</vt:lpstr>
      <vt:lpstr>Wisconsin</vt:lpstr>
      <vt:lpstr>Wyoming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Lora Pickard</dc:creator>
  <cp:keywords/>
  <dc:description/>
  <cp:lastModifiedBy>Holly Haney</cp:lastModifiedBy>
  <cp:revision/>
  <dcterms:created xsi:type="dcterms:W3CDTF">2014-01-31T21:12:54Z</dcterms:created>
  <dcterms:modified xsi:type="dcterms:W3CDTF">2026-06-08T13:56:22Z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0x0101003B9177F182B7F240B864C85A633545C1</vt:lpwstr>
  </property>
  <property fmtid="{D5CDD505-2E9C-101B-9397-08002B2CF9AE}" pid="3" name="Order">
    <vt:r8>3109000</vt:r8>
  </property>
  <property fmtid="{D5CDD505-2E9C-101B-9397-08002B2CF9AE}" pid="4" name="MediaServiceImageTags">
    <vt:lpwstr/>
  </property>
</Properties>
</file>